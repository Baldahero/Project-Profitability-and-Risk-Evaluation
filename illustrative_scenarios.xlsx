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835550fbd54e2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review" sheetId="1" r:id="Rb8231c0186f64136"/>
    <x:sheet xmlns:r="http://schemas.openxmlformats.org/officeDocument/2006/relationships" name="Protocol" sheetId="2" r:id="Rb71cf5cc41924823"/>
    <x:sheet xmlns:r="http://schemas.openxmlformats.org/officeDocument/2006/relationships" name="Original data" sheetId="3" r:id="R531194314139416e"/>
  </x:sheets>
</x:workbook>
</file>

<file path=xl/sharedStrings.xml><?xml version="1.0" encoding="utf-8"?>
<x:sst xmlns:x="http://schemas.openxmlformats.org/spreadsheetml/2006/main">
  <x:si>
    <x:t xml:space="preserve">PRJ-R001</x:t>
  </x:si>
  <x:si>
    <x:t xml:space="preserve">Medium</x:t>
  </x:si>
  <x:si>
    <x:t xml:space="preserve">PRJ-R002</x:t>
  </x:si>
  <x:si>
    <x:t xml:space="preserve">High</x:t>
  </x:si>
  <x:si>
    <x:t xml:space="preserve">PRJ-R003</x:t>
  </x:si>
  <x:si>
    <x:t xml:space="preserve">PRJ-R004</x:t>
  </x:si>
  <x:si>
    <x:t xml:space="preserve">PRJ-R005</x:t>
  </x:si>
  <x:si>
    <x:t xml:space="preserve">Low</x:t>
  </x:si>
  <x:si>
    <x:t xml:space="preserve">PRJ-R006</x:t>
  </x:si>
  <x:si>
    <x:t xml:space="preserve">PRJ-R007</x:t>
  </x:si>
  <x:si>
    <x:t xml:space="preserve">PRJ-R008</x:t>
  </x:si>
  <x:si>
    <x:t xml:space="preserve">PRJ-R009</x:t>
  </x:si>
  <x:si>
    <x:t xml:space="preserve">PRJ-R010</x:t>
  </x:si>
  <x:si>
    <x:t xml:space="preserve">PRJ-S001</x:t>
  </x:si>
  <x:si>
    <x:t xml:space="preserve">PRJ-S002</x:t>
  </x:si>
  <x:si>
    <x:t xml:space="preserve">PRJ-S003</x:t>
  </x:si>
  <x:si>
    <x:t xml:space="preserve">PRJ-S004</x:t>
  </x:si>
  <x:si>
    <x:t xml:space="preserve">PRJ-S005</x:t>
  </x:si>
  <x:si>
    <x:t xml:space="preserve">PRJ-S006</x:t>
  </x:si>
  <x:si>
    <x:t xml:space="preserve">PRJ-S007</x:t>
  </x:si>
  <x:si>
    <x:t xml:space="preserve">PRJ-S008</x:t>
  </x:si>
  <x:si>
    <x:t xml:space="preserve">PRJ-S009</x:t>
  </x:si>
  <x:si>
    <x:t xml:space="preserve">PRJ-S010</x:t>
  </x:si>
  <x:si>
    <x:t xml:space="preserve">PRJ-S011</x:t>
  </x:si>
  <x:si>
    <x:t xml:space="preserve">PRJ-S012</x:t>
  </x:si>
  <x:si>
    <x:t xml:space="preserve">PRJ-S013</x:t>
  </x:si>
  <x:si>
    <x:t xml:space="preserve">PRJ-S014</x:t>
  </x:si>
  <x:si>
    <x:t xml:space="preserve">PRJ-S015</x:t>
  </x:si>
  <x:si>
    <x:t xml:space="preserve">PRJ-S016</x:t>
  </x:si>
  <x:si>
    <x:t xml:space="preserve">PRJ-S017</x:t>
  </x:si>
  <x:si>
    <x:t xml:space="preserve">PRJ-S018</x:t>
  </x:si>
  <x:si>
    <x:t xml:space="preserve">PRJ-S019</x:t>
  </x:si>
  <x:si>
    <x:t xml:space="preserve">PRJ-S020</x:t>
  </x:si>
  <x:si>
    <x:t xml:space="preserve">PRJ-S021</x:t>
  </x:si>
  <x:si>
    <x:t xml:space="preserve">PRJ-S022</x:t>
  </x:si>
  <x:si>
    <x:t xml:space="preserve">PRJ-S023</x:t>
  </x:si>
  <x:si>
    <x:t xml:space="preserve">PRJ-S024</x:t>
  </x:si>
  <x:si>
    <x:t xml:space="preserve">PRJ-S025</x:t>
  </x:si>
  <x:si>
    <x:t xml:space="preserve">PRJ-S026</x:t>
  </x:si>
  <x:si>
    <x:t xml:space="preserve">PRJ-S027</x:t>
  </x:si>
  <x:si>
    <x:t xml:space="preserve">PRJ-S028</x:t>
  </x:si>
  <x:si>
    <x:t xml:space="preserve">PRJ-S029</x:t>
  </x:si>
  <x:si>
    <x:t xml:space="preserve">PRJ-S030</x:t>
  </x:si>
  <x:si>
    <x:t xml:space="preserve">PRJ-S031</x:t>
  </x:si>
  <x:si>
    <x:t xml:space="preserve">PRJ-S032</x:t>
  </x:si>
  <x:si>
    <x:t xml:space="preserve">PRJ-S033</x:t>
  </x:si>
  <x:si>
    <x:t xml:space="preserve">PRJ-S034</x:t>
  </x:si>
  <x:si>
    <x:t xml:space="preserve">PRJ-S035</x:t>
  </x:si>
  <x:si>
    <x:t xml:space="preserve">PRJ-S036</x:t>
  </x:si>
  <x:si>
    <x:t xml:space="preserve">PRJ-S037</x:t>
  </x:si>
  <x:si>
    <x:t xml:space="preserve">PRJ-S038</x:t>
  </x:si>
  <x:si>
    <x:t xml:space="preserve">PRJ-S039</x:t>
  </x:si>
  <x:si>
    <x:t xml:space="preserve">PRJ-S040</x:t>
  </x:si>
  <x:si>
    <x:t xml:space="preserve">PRJ-S041</x:t>
  </x:si>
  <x:si>
    <x:t xml:space="preserve">PRJ-S042</x:t>
  </x:si>
  <x:si>
    <x:t xml:space="preserve">PRJ-S043</x:t>
  </x:si>
  <x:si>
    <x:t xml:space="preserve">PRJ-S044</x:t>
  </x:si>
  <x:si>
    <x:t xml:space="preserve">PRJ-S045</x:t>
  </x:si>
  <x:si>
    <x:t xml:space="preserve">PRJ-S046</x:t>
  </x:si>
  <x:si>
    <x:t xml:space="preserve">PRJ-S047</x:t>
  </x:si>
  <x:si>
    <x:t xml:space="preserve">PRJ-S048</x:t>
  </x:si>
  <x:si>
    <x:t xml:space="preserve">PRJ-S049</x:t>
  </x:si>
  <x:si>
    <x:t xml:space="preserve">PRJ-S050</x:t>
  </x:si>
  <x:si>
    <x:t xml:space="preserve">PRJ-S051</x:t>
  </x:si>
  <x:si>
    <x:t xml:space="preserve">PRJ-S052</x:t>
  </x:si>
  <x:si>
    <x:t xml:space="preserve">PRJ-S053</x:t>
  </x:si>
  <x:si>
    <x:t xml:space="preserve">PRJ-S054</x:t>
  </x:si>
  <x:si>
    <x:t xml:space="preserve">PRJ-S055</x:t>
  </x:si>
  <x:si>
    <x:t xml:space="preserve">PRJ-S056</x:t>
  </x:si>
  <x:si>
    <x:t xml:space="preserve">PRJ-S057</x:t>
  </x:si>
  <x:si>
    <x:t xml:space="preserve">PRJ-S058</x:t>
  </x:si>
  <x:si>
    <x:t xml:space="preserve">PRJ-S059</x:t>
  </x:si>
  <x:si>
    <x:t xml:space="preserve">PRJ-S060</x:t>
  </x:si>
  <x:si>
    <x:t xml:space="preserve">PRJ-S061</x:t>
  </x:si>
  <x:si>
    <x:t xml:space="preserve">PRJ-S062</x:t>
  </x:si>
  <x:si>
    <x:t xml:space="preserve">PRJ-S063</x:t>
  </x:si>
  <x:si>
    <x:t xml:space="preserve">PRJ-S064</x:t>
  </x:si>
  <x:si>
    <x:t xml:space="preserve">PRJ-S065</x:t>
  </x:si>
  <x:si>
    <x:t xml:space="preserve">PRJ-S066</x:t>
  </x:si>
  <x:si>
    <x:t xml:space="preserve">PRJ-S067</x:t>
  </x:si>
  <x:si>
    <x:t xml:space="preserve">PRJ-S068</x:t>
  </x:si>
  <x:si>
    <x:t xml:space="preserve">PRJ-S069</x:t>
  </x:si>
  <x:si>
    <x:t xml:space="preserve">PRJ-S070</x:t>
  </x:si>
  <x:si>
    <x:t xml:space="preserve">PRJ-S071</x:t>
  </x:si>
  <x:si>
    <x:t xml:space="preserve">PRJ-S072</x:t>
  </x:si>
  <x:si>
    <x:t xml:space="preserve">PRJ-S073</x:t>
  </x:si>
  <x:si>
    <x:t xml:space="preserve">PRJ-S074</x:t>
  </x:si>
  <x:si>
    <x:t xml:space="preserve">PRJ-S075</x:t>
  </x:si>
  <x:si>
    <x:t xml:space="preserve">PRJ-S076</x:t>
  </x:si>
  <x:si>
    <x:t xml:space="preserve">PRJ-S077</x:t>
  </x:si>
  <x:si>
    <x:t xml:space="preserve">PRJ-S078</x:t>
  </x:si>
  <x:si>
    <x:t xml:space="preserve">PRJ-S079</x:t>
  </x:si>
  <x:si>
    <x:t xml:space="preserve">PRJ-S080</x:t>
  </x:si>
  <x:si>
    <x:t xml:space="preserve">PRJ-S081</x:t>
  </x:si>
  <x:si>
    <x:t xml:space="preserve">PRJ-S082</x:t>
  </x:si>
  <x:si>
    <x:t xml:space="preserve">PRJ-S083</x:t>
  </x:si>
  <x:si>
    <x:t xml:space="preserve">PRJ-S084</x:t>
  </x:si>
  <x:si>
    <x:t xml:space="preserve">PRJ-S085</x:t>
  </x:si>
  <x:si>
    <x:t xml:space="preserve">PRJ-S086</x:t>
  </x:si>
  <x:si>
    <x:t xml:space="preserve">PRJ-S087</x:t>
  </x:si>
  <x:si>
    <x:t xml:space="preserve">PRJ-S088</x:t>
  </x:si>
  <x:si>
    <x:t xml:space="preserve">PRJ-S089</x:t>
  </x:si>
  <x:si>
    <x:t xml:space="preserve">PRJ-S090</x:t>
  </x:si>
  <x:si>
    <x:t xml:space="preserve">Item</x:t>
  </x:si>
  <x:si>
    <x:t xml:space="preserve">Definition / instruction</x:t>
  </x:si>
  <x:si>
    <x:t xml:space="preserve">Project_ID</x:t>
  </x:si>
  <x:si>
    <x:t xml:space="preserve">Project_Name</x:t>
  </x:si>
  <x:si>
    <x:t xml:space="preserve">Data_Source</x:t>
  </x:si>
  <x:si>
    <x:t xml:space="preserve">Num_Construction_Types</x:t>
  </x:si>
  <x:si>
    <x:t xml:space="preserve">Total_Value_GBP</x:t>
  </x:si>
  <x:si>
    <x:t xml:space="preserve">Fabrication_Hours</x:t>
  </x:si>
  <x:si>
    <x:t xml:space="preserve">Profile_Systems</x:t>
  </x:si>
  <x:si>
    <x:t xml:space="preserve">Element_Types</x:t>
  </x:si>
  <x:si>
    <x:t xml:space="preserve">Region</x:t>
  </x:si>
  <x:si>
    <x:t xml:space="preserve">Wind_Exposure</x:t>
  </x:si>
  <x:si>
    <x:t xml:space="preserve">Technical_Complexity</x:t>
  </x:si>
  <x:si>
    <x:t xml:space="preserve">Profile_Type</x:t>
  </x:si>
  <x:si>
    <x:t xml:space="preserve">Time_Manual_Days</x:t>
  </x:si>
  <x:si>
    <x:t xml:space="preserve">Time_Manual_Minutes</x:t>
  </x:si>
  <x:si>
    <x:t xml:space="preserve">Time_System_Minutes</x:t>
  </x:si>
  <x:si>
    <x:t xml:space="preserve">Rule_vs_Expert_Match</x:t>
  </x:si>
  <x:si>
    <x:t xml:space="preserve">Has_Windows</x:t>
  </x:si>
  <x:si>
    <x:t xml:space="preserve">Has_External_Doors</x:t>
  </x:si>
  <x:si>
    <x:t xml:space="preserve">Has_Sliding_Doors</x:t>
  </x:si>
  <x:si>
    <x:t xml:space="preserve">Has_Folding_Doors</x:t>
  </x:si>
  <x:si>
    <x:t xml:space="preserve">Has_Curtain_Wall</x:t>
  </x:si>
  <x:si>
    <x:t xml:space="preserve">Has_High_Insulation</x:t>
  </x:si>
  <x:si>
    <x:t xml:space="preserve">Has_Access_Control</x:t>
  </x:si>
  <x:si>
    <x:t xml:space="preserve">RC2_Status</x:t>
  </x:si>
  <x:si>
    <x:t xml:space="preserve">RC3_Status</x:t>
  </x:si>
  <x:si>
    <x:t xml:space="preserve">PAS24_Status</x:t>
  </x:si>
  <x:si>
    <x:t xml:space="preserve">Security_Data_Source</x:t>
  </x:si>
  <x:si>
    <x:t xml:space="preserve">AWS 75.SI+ / FWS 50 / AD UP 75</x:t>
  </x:si>
  <x:si>
    <x:t xml:space="preserve">Windows + Doors + Curtain Wall</x:t>
  </x:si>
  <x:si>
    <x:t xml:space="preserve">Urban</x:t>
  </x:si>
  <x:si>
    <x:t xml:space="preserve">Non-standard</x:t>
  </x:si>
  <x:si>
    <x:t xml:space="preserve">No</x:t>
  </x:si>
  <x:si>
    <x:t xml:space="preserve">Yes</x:t>
  </x:si>
  <x:si>
    <x:t xml:space="preserve">Assumed for modelling</x:t>
  </x:si>
  <x:si>
    <x:t xml:space="preserve">AWS 75.SI+ / FWS 50</x:t>
  </x:si>
  <x:si>
    <x:t xml:space="preserve">Windows + Curtain Wall</x:t>
  </x:si>
  <x:si>
    <x:t xml:space="preserve">Coastal</x:t>
  </x:si>
  <x:si>
    <x:t xml:space="preserve">Inland</x:t>
  </x:si>
  <x:si>
    <x:t xml:space="preserve">FWS 50</x:t>
  </x:si>
  <x:si>
    <x:t xml:space="preserve">Curtain Wall only</x:t>
  </x:si>
  <x:si>
    <x:t xml:space="preserve">Standard</x:t>
  </x:si>
  <x:si>
    <x:t xml:space="preserve">AWS 75.SI+ / ASE 80.HI</x:t>
  </x:si>
  <x:si>
    <x:t xml:space="preserve">Windows + Doors (HI)</x:t>
  </x:si>
  <x:si>
    <x:t xml:space="preserve">Windows + Doors (High Insulation)</x:t>
  </x:si>
  <x:si>
    <x:t xml:space="preserve">AWS 75.SI+ / AD UP 75</x:t>
  </x:si>
  <x:si>
    <x:t xml:space="preserve">Windows + Doors</x:t>
  </x:si>
  <x:si>
    <x:t xml:space="preserve">Industrial</x:t>
  </x:si>
  <x:si>
    <x:t xml:space="preserve">FWS 60</x:t>
  </x:si>
  <x:si>
    <x:t xml:space="preserve">Mountain</x:t>
  </x:si>
</x:sst>
</file>

<file path=xl/styles.xml><?xml version="1.0" encoding="utf-8"?>
<x:styleSheet xmlns:x="http://schemas.openxmlformats.org/spreadsheetml/2006/main">
  <x:numFmts count="3">
    <x:numFmt numFmtId="200" formatCode="0%"/>
    <x:numFmt numFmtId="201" formatCode="0.0%"/>
    <x:numFmt numFmtId="202" formatCode="&quot;GBP &quot;#,##0.00"/>
  </x:numFmts>
  <x:fonts count="9">
    <x:font>
      <x:sz val="11"/>
      <x:name val="Carlito"/>
    </x:font>
    <x:font>
      <x:sz val="11"/>
      <x:name val="Arial"/>
    </x:font>
    <x:font>
      <x:sz val="11"/>
      <x:color rgb="FF0000FF"/>
      <x:name val="Arial"/>
    </x:font>
    <x:font>
      <x:b/>
      <x:sz val="11"/>
      <x:color rgb="FFFFFFFF"/>
      <x:name val="Arial"/>
    </x:font>
    <x:font>
      <x:sz val="11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0000"/>
      <x:name val="Arial"/>
    </x:font>
    <x:font>
      <x:sz val="11"/>
      <x:color rgb="FF000000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63A5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1" fillId="0" borderId="0" xfId="0" applyFont="1" applyAlignment="1">
      <x:alignment vertical="center" wrapText="1"/>
    </x:xf>
    <x:xf numFmtId="0" fontId="2" fillId="0" borderId="0" xfId="0" applyFont="1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1" fillId="0" borderId="0" xfId="0" applyFont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6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ill>
        <x:patternFill>
          <x:bgColor rgb="FFE4F2E8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FCE4D6"/>
        </x:patternFill>
      </x:fill>
    </x:dxf>
    <x:dxf>
      <x:fill>
        <x:patternFill patternType="solid">
          <x:bgColor rgb="FFE4F2E8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9c30506d9414c" /><Relationship Type="http://schemas.openxmlformats.org/officeDocument/2006/relationships/theme" Target="/xl/theme/theme1.xml" Id="R91f9d031887f491e" /><Relationship Type="http://schemas.microsoft.com/office/2022/11/relationships/FeaturePropertyBag" Target="/xl/featurePropertyBag/featurePropertyBag.xml" Id="Rf9bf634a90b7455b" /><Relationship Type="http://schemas.openxmlformats.org/officeDocument/2006/relationships/sharedStrings" Target="/xl/sharedStrings.xml" Id="R6300ccd8220a44c3" /><Relationship Type="http://schemas.openxmlformats.org/officeDocument/2006/relationships/worksheet" Target="/xl/worksheets/sheet1.xml" Id="Rb8231c0186f64136" /><Relationship Type="http://schemas.openxmlformats.org/officeDocument/2006/relationships/worksheet" Target="/xl/worksheets/sheet2.xml" Id="Rb71cf5cc41924823" /><Relationship Type="http://schemas.openxmlformats.org/officeDocument/2006/relationships/worksheet" Target="/xl/worksheets/sheet3.xml" Id="R531194314139416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RiskReviewTable" displayName="RiskReviewTable" ref="A1:Z101" headerRowCount="1" totalsRowCount="0" totalsRowShown="0">
  <x:tableColumns count="26">
    <x:tableColumn id="1" name="Scenario ID"/>
    <x:tableColumn id="2" name="Legacy author label"/>
    <x:tableColumn id="3" name="Legacy rule label"/>
    <x:tableColumn id="4" name="Scenario characteristics"/>
    <x:tableColumn id="5" name="Evidence basis"/>
    <x:tableColumn id="6" name="Technical status"/>
    <x:tableColumn id="7" name="Schedule status"/>
    <x:tableColumn id="8" name="Commercial status"/>
    <x:tableColumn id="9" name="Documentation status"/>
    <x:tableColumn id="10" name="Scenario risk label"/>
    <x:tableColumn id="11" name="Calculation explanation"/>
    <x:tableColumn id="12" name="Required action"/>
    <x:tableColumn id="13" name="Comparison with legacy label"/>
    <x:tableColumn id="14" name="Assumed supplier lead weeks"/>
    <x:tableColumn id="15" name="Assumed capacity h/week"/>
    <x:tableColumn id="16" name="Assumed deadline weeks"/>
    <x:tableColumn id="17" name="Assumed total cost GBP"/>
    <x:tableColumn id="18" name="Assumed technical issue code"/>
    <x:tableColumn id="19" name="Modelled technical condition"/>
    <x:tableColumn id="20" name="Assumed missing document groups"/>
    <x:tableColumn id="21" name="Modelled documentation condition"/>
    <x:tableColumn id="22" name="Readiness weeks"/>
    <x:tableColumn id="23" name="Schedule buffer weeks"/>
    <x:tableColumn id="24" name="Gross margin fraction"/>
    <x:tableColumn id="25" name="Provenance"/>
    <x:tableColumn id="26" name="Scenario 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74d84045b8a486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3.800000190734863"/>
  <x:cols>
    <x:col min="1" max="3" width="20" customWidth="1"/>
    <x:col min="4" max="5" width="52" customWidth="1"/>
    <x:col min="6" max="10" width="20" customWidth="1"/>
    <x:col min="11" max="12" width="40" customWidth="1"/>
    <x:col min="13" max="13" width="22" hidden="0" customWidth="1"/>
    <x:col min="1" max="1" width="18" hidden="0" customWidth="1"/>
    <x:col min="2" max="2" width="18" hidden="0" customWidth="1"/>
    <x:col min="3" max="3" width="18" hidden="0" customWidth="1"/>
    <x:col min="4" max="4" width="52" hidden="0" customWidth="1"/>
    <x:col min="5" max="5" width="52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72" hidden="0" customWidth="1"/>
    <x:col min="12" max="12" width="7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58" hidden="0" customWidth="1"/>
    <x:col min="20" max="20" width="22" hidden="0" customWidth="1"/>
    <x:col min="21" max="21" width="58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</x:cols>
  <x:sheetData>
    <x:row r="1" ht="55" customHeight="1">
      <x:c r="A1" s="15" t="str">
        <x:v>Scenario ID</x:v>
      </x:c>
      <x:c r="B1" s="15" t="str">
        <x:v>Legacy author label</x:v>
      </x:c>
      <x:c r="C1" s="15" t="str">
        <x:v>Legacy rule label</x:v>
      </x:c>
      <x:c r="D1" s="15" t="str">
        <x:v>Scenario characteristics</x:v>
      </x:c>
      <x:c r="E1" s="15" t="str">
        <x:v>Evidence basis</x:v>
      </x:c>
      <x:c r="F1" s="15" t="str">
        <x:v>Technical status</x:v>
      </x:c>
      <x:c r="G1" s="15" t="str">
        <x:v>Schedule status</x:v>
      </x:c>
      <x:c r="H1" s="15" t="str">
        <x:v>Commercial status</x:v>
      </x:c>
      <x:c r="I1" s="15" t="str">
        <x:v>Documentation status</x:v>
      </x:c>
      <x:c r="J1" s="15" t="str">
        <x:v>Scenario risk label</x:v>
      </x:c>
      <x:c r="K1" s="15" t="str">
        <x:v>Calculation explanation</x:v>
      </x:c>
      <x:c r="L1" s="15" t="str">
        <x:v>Required action</x:v>
      </x:c>
      <x:c r="M1" s="15" t="str">
        <x:v>Comparison with legacy label</x:v>
      </x:c>
      <x:c r="N1" s="18" t="str">
        <x:v>Assumed supplier lead weeks</x:v>
      </x:c>
      <x:c r="O1" s="18" t="str">
        <x:v>Assumed capacity h/week</x:v>
      </x:c>
      <x:c r="P1" s="18" t="str">
        <x:v>Assumed deadline weeks</x:v>
      </x:c>
      <x:c r="Q1" s="18" t="str">
        <x:v>Assumed total cost GBP</x:v>
      </x:c>
      <x:c r="R1" s="18" t="str">
        <x:v>Assumed technical issue code</x:v>
      </x:c>
      <x:c r="S1" s="18" t="str">
        <x:v>Modelled technical condition</x:v>
      </x:c>
      <x:c r="T1" s="18" t="str">
        <x:v>Assumed missing document groups</x:v>
      </x:c>
      <x:c r="U1" s="18" t="str">
        <x:v>Modelled documentation condition</x:v>
      </x:c>
      <x:c r="V1" s="18" t="str">
        <x:v>Readiness weeks</x:v>
      </x:c>
      <x:c r="W1" s="18" t="str">
        <x:v>Schedule buffer weeks</x:v>
      </x:c>
      <x:c r="X1" s="18" t="str">
        <x:v>Gross margin fraction</x:v>
      </x:c>
      <x:c r="Y1" s="18" t="str">
        <x:v>Provenance</x:v>
      </x:c>
      <x:c r="Z1" s="18" t="str">
        <x:v>Scenario name</x:v>
      </x:c>
    </x:row>
    <x:row r="2" ht="140" customHeight="1">
      <x:c r="A2" s="13" t="s">
        <x:v>0</x:v>
      </x:c>
      <x:c r="B2" s="13" t="s">
        <x:v>1</x:v>
      </x:c>
      <x:c r="C2" s="13" t="s">
        <x:v>1</x:v>
      </x:c>
      <x:c r="D2" s="13" t="str">
        <x:v>Synthetic scenario 001. Elements: Windows + Doors + Curtain Wall. Systems: AWS 75.SI+ / FWS 50 / AD UP 75. Complexity: Medium; profile: Non-standard; wind: High; region: Urban. Value GBP 112,915; fabrication 510 h. Physical dimensions and structural capacity are not calculated.</x:v>
      </x:c>
      <x:c r="E2" s="13" t="str">
        <x:v>All added conditions are synthetic assumptions. Statuses follow the Protocol; no historical outcomes or independent expert validation.</x:v>
      </x:c>
      <x:c r="F2" s="20" t="str">
        <x:f>IF(R2=2,"Critical",IF(R2=1,"Clarification","Acceptable"))</x:f>
        <x:v>Acceptable</x:v>
      </x:c>
      <x:c r="G2" s="20" t="str">
        <x:f>IF(W2&lt;0,"Critical",IF(W2&lt;'Protocol'!$B$25,"Clarification","Acceptable"))</x:f>
        <x:v>Acceptable</x:v>
      </x:c>
      <x:c r="H2" s="20" t="str">
        <x:f>IF(X2&lt;'Protocol'!$B$23,"Critical",IF(X2&lt;'Protocol'!$B$24,"Clarification","Acceptable"))</x:f>
        <x:v>Acceptable</x:v>
      </x:c>
      <x:c r="I2" s="20" t="str">
        <x:f>IF(T2&gt;=2,"Critical",IF(T2=1,"Clarification","Acceptable"))</x:f>
        <x:v>Acceptable</x:v>
      </x:c>
      <x:c r="J2" s="20" t="str">
        <x:f t="shared" ref="J2:J33" si="0">IF(COUNTIF(F2:I2,"Critical")&gt;0,"High",IF(COUNTIF(F2:I2,"Clarification")&gt;0,"Medium","Low"))</x:f>
        <x:v>Low</x:v>
      </x:c>
      <x:c r="K2" s="20" t="str">
        <x:f>"Technical: "&amp;S2&amp;" Schedule: readiness "&amp;V2&amp;" weeks, deadline "&amp;P2&amp;" weeks, buffer "&amp;W2&amp;" weeks ("&amp;G2&amp;"). Commercial: gross margin "&amp;TEXT(X2,"0.0%")&amp;" ("&amp;H2&amp;"). Documentation: "&amp;U2&amp;" Result: "&amp;J2&amp;IF(J2="High"," because at least one domain is Critical.",IF(J2="Medium"," because clarification is required and no domain is Critical."," because all four domains are Acceptable."))</x:f>
        <x:v>Technical: Model assumes the selected configuration fulfils the stated requirements; no unresolved technical issue. Schedule: readiness 16 weeks, deadline 21 weeks, buffer 5 weeks (Acceptable). Commercial: gross margin 26.0% (Acceptable). Documentation: Model assumes drawings, installation scope and performance requirements are supplied. Result: Low because all four domains are Acceptable.</x:v>
      </x:c>
      <x:c r="L2" s="20" t="str">
        <x:f>IF(F2="Critical","Revise profile or connection. ",IF(F2="Clarification","Confirm connection and profile compatibility. ",""))&amp;IF(G2="Critical","Revise deadline or procurement/production plan. ",IF(G2="Clarification","Confirm capacity and protect the schedule buffer. ",""))&amp;IF(H2="Critical","Revise price or costs. ",IF(H2="Clarification","Confirm cost allowances and margin. ",""))&amp;IF(I2="Critical","Obtain drawings and performance requirements. ",IF(I2="Clarification","Confirm installation scope. ",""))&amp;IF(J2="Low","Proceed to routine tender checks.","")</x:f>
        <x:v>Proceed to routine tender checks.</x:v>
      </x:c>
      <x:c r="M2" s="20" t="str">
        <x:f t="shared" ref="M2:M33" si="1">IF(J2=B2,"Matches legacy label","Different from legacy label")</x:f>
        <x:v>Different from legacy label</x:v>
      </x:c>
      <x:c r="N2" s="19" t="n">
        <x:v>12</x:v>
      </x:c>
      <x:c r="O2" s="19" t="n">
        <x:v>160</x:v>
      </x:c>
      <x:c r="P2" s="19" t="n">
        <x:v>21</x:v>
      </x:c>
      <x:c r="Q2" s="23" t="n">
        <x:v>83557.1</x:v>
      </x:c>
      <x:c r="R2" s="19" t="n">
        <x:v>0</x:v>
      </x:c>
      <x:c r="S2" s="21" t="str">
        <x:f>IF(R2=2,"Model assumes the specified connection cannot fit the selected profile geometry; redesign or profile substitution is required.",IF(R2=1,"Model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2" s="19" t="n">
        <x:v>0</x:v>
      </x:c>
      <x:c r="U2" s="21" t="str">
        <x:f>IF(T2&gt;=2,"Model assumes both final drawings and performance requirements are absent, preventing confirmation of scope and price.",IF(T2=1,"Model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2" s="12" t="n">
        <x:f>N2+ROUNDUP('Original data'!F2/O2,0)</x:f>
        <x:v>16</x:v>
      </x:c>
      <x:c r="W2" s="12" t="n">
        <x:f>P2-V2</x:f>
        <x:v>5</x:v>
      </x:c>
      <x:c r="X2" s="22" t="n">
        <x:f>ROUND(('Original data'!E2-Q2)/'Original data'!E2,10)</x:f>
        <x:v>0.26</x:v>
      </x:c>
      <x:c r="Y2" s="12" t="str">
        <x:v>Synthetic domain-informed scenario; seed 20261002</x:v>
      </x:c>
      <x:c r="Z2" s="12" t="str">
        <x:v>Scenario 001</x:v>
      </x:c>
    </x:row>
    <x:row r="3" ht="140" customHeight="1">
      <x:c r="A3" s="13" t="s">
        <x:v>2</x:v>
      </x:c>
      <x:c r="B3" s="13" t="s">
        <x:v>1</x:v>
      </x:c>
      <x:c r="C3" s="13" t="s">
        <x:v>3</x:v>
      </x:c>
      <x:c r="D3" s="13" t="str">
        <x:v>Synthetic scenario 002. Elements: Windows + Doors + Curtain Wall. Systems: AWS 75.SI+ / FWS 50 / AD UP 75. Complexity: High; profile: Non-standard; wind: High; region: Urban. Value GBP 1,669,507; fabrication 6284 h. Physical dimensions and structural capacity are not calculated.</x:v>
      </x:c>
      <x:c r="E3" s="13" t="str">
        <x:v>All added conditions are synthetic assumptions. Statuses follow the Protocol; no historical outcomes or independent expert validation.</x:v>
      </x:c>
      <x:c r="F3" s="20" t="str">
        <x:f>IF(R3=2,"Critical",IF(R3=1,"Clarification","Acceptable"))</x:f>
        <x:v>Acceptable</x:v>
      </x:c>
      <x:c r="G3" s="20" t="str">
        <x:f>IF(W3&lt;0,"Critical",IF(W3&lt;'Protocol'!$B$25,"Clarification","Acceptable"))</x:f>
        <x:v>Acceptable</x:v>
      </x:c>
      <x:c r="H3" s="20" t="str">
        <x:f>IF(X3&lt;'Protocol'!$B$23,"Critical",IF(X3&lt;'Protocol'!$B$24,"Clarification","Acceptable"))</x:f>
        <x:v>Acceptable</x:v>
      </x:c>
      <x:c r="I3" s="20" t="str">
        <x:f>IF(T3&gt;=2,"Critical",IF(T3=1,"Clarification","Acceptable"))</x:f>
        <x:v>Acceptable</x:v>
      </x:c>
      <x:c r="J3" s="20" t="str">
        <x:f t="shared" si="0">IF(COUNTIF(F3:I3,"Critical")&gt;0,"High",IF(COUNTIF(F3:I3,"Clarification")&gt;0,"Medium","Low"))</x:f>
        <x:v>Low</x:v>
      </x:c>
      <x:c r="K3" s="20" t="str">
        <x:f>"Technical: "&amp;S3&amp;" Schedule: readiness "&amp;V3&amp;" weeks, deadline "&amp;P3&amp;" weeks, buffer "&amp;W3&amp;" weeks ("&amp;G3&amp;"). Commercial: gross margin "&amp;TEXT(X3,"0.0%")&amp;" ("&amp;H3&amp;"). Documentation: "&amp;U3&amp;" Result: "&amp;J3&amp;IF(J3="High"," because at least one domain is Critical.",IF(J3="Medium"," because clarification is required and no domain is Critical."," because all four domains are Acceptable."))</x:f>
        <x:v>Technical: Model assumes the selected configuration fulfils the stated requirements; no unresolved technical issue. Schedule: readiness 39 weeks, deadline 46 weeks, buffer 7 weeks (Acceptable). Commercial: gross margin 22.0% (Acceptable). Documentation: Model assumes drawings, installation scope and performance requirements are supplied. Result: Low because all four domains are Acceptable.</x:v>
      </x:c>
      <x:c r="L3" s="20" t="str">
        <x:f>IF(F3="Critical","Revise profile or connection. ",IF(F3="Clarification","Confirm connection and profile compatibility. ",""))&amp;IF(G3="Critical","Revise deadline or procurement/production plan. ",IF(G3="Clarification","Confirm capacity and protect the schedule buffer. ",""))&amp;IF(H3="Critical","Revise price or costs. ",IF(H3="Clarification","Confirm cost allowances and margin. ",""))&amp;IF(I3="Critical","Obtain drawings and performance requirements. ",IF(I3="Clarification","Confirm installation scope. ",""))&amp;IF(J3="Low","Proceed to routine tender checks.","")</x:f>
        <x:v>Proceed to routine tender checks.</x:v>
      </x:c>
      <x:c r="M3" s="20" t="str">
        <x:f t="shared" si="1">IF(J3=B3,"Matches legacy label","Different from legacy label")</x:f>
        <x:v>Different from legacy label</x:v>
      </x:c>
      <x:c r="N3" s="19" t="n">
        <x:v>12</x:v>
      </x:c>
      <x:c r="O3" s="19" t="n">
        <x:v>240</x:v>
      </x:c>
      <x:c r="P3" s="19" t="n">
        <x:v>46</x:v>
      </x:c>
      <x:c r="Q3" s="23" t="n">
        <x:v>1302215.46</x:v>
      </x:c>
      <x:c r="R3" s="19" t="n">
        <x:v>0</x:v>
      </x:c>
      <x:c r="S3" s="21" t="str">
        <x:f>IF(R3=2,"Model assumes the specified connection cannot fit the selected profile geometry; redesign or profile substitution is required.",IF(R3=1,"Model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3" s="19" t="n">
        <x:v>0</x:v>
      </x:c>
      <x:c r="U3" s="21" t="str">
        <x:f>IF(T3&gt;=2,"Model assumes both final drawings and performance requirements are absent, preventing confirmation of scope and price.",IF(T3=1,"Model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" s="12" t="n">
        <x:f>N3+ROUNDUP('Original data'!F3/O3,0)</x:f>
        <x:v>39</x:v>
      </x:c>
      <x:c r="W3" s="12" t="n">
        <x:f>P3-V3</x:f>
        <x:v>7</x:v>
      </x:c>
      <x:c r="X3" s="22" t="n">
        <x:f>ROUND(('Original data'!E3-Q3)/'Original data'!E3,10)</x:f>
        <x:v>0.22</x:v>
      </x:c>
      <x:c r="Y3" s="12" t="str">
        <x:v>Synthetic domain-informed scenario; seed 20261002</x:v>
      </x:c>
      <x:c r="Z3" s="12" t="str">
        <x:v>Scenario 002</x:v>
      </x:c>
    </x:row>
    <x:row r="4" ht="140" customHeight="1">
      <x:c r="A4" s="13" t="s">
        <x:v>4</x:v>
      </x:c>
      <x:c r="B4" s="13" t="s">
        <x:v>3</x:v>
      </x:c>
      <x:c r="C4" s="13" t="s">
        <x:v>1</x:v>
      </x:c>
      <x:c r="D4" s="13" t="str">
        <x:v>Synthetic scenario 003. Elements: Windows + Curtain Wall. Systems: AWS 75.SI+ / FWS 50. Complexity: Medium; profile: Non-standard; wind: Low; region: Coastal. Value GBP 71,408; fabrication 500 h. Physical dimensions and structural capacity are not calculated.</x:v>
      </x:c>
      <x:c r="E4" s="13" t="str">
        <x:v>All added conditions are synthetic assumptions. Statuses follow the Protocol; no historical outcomes or independent expert validation.</x:v>
      </x:c>
      <x:c r="F4" s="20" t="str">
        <x:f>IF(R4=2,"Critical",IF(R4=1,"Clarification","Acceptable"))</x:f>
        <x:v>Clarification</x:v>
      </x:c>
      <x:c r="G4" s="20" t="str">
        <x:f>IF(W4&lt;0,"Critical",IF(W4&lt;'Protocol'!$B$25,"Clarification","Acceptable"))</x:f>
        <x:v>Acceptable</x:v>
      </x:c>
      <x:c r="H4" s="20" t="str">
        <x:f>IF(X4&lt;'Protocol'!$B$23,"Critical",IF(X4&lt;'Protocol'!$B$24,"Clarification","Acceptable"))</x:f>
        <x:v>Acceptable</x:v>
      </x:c>
      <x:c r="I4" s="20" t="str">
        <x:f>IF(T4&gt;=2,"Critical",IF(T4=1,"Clarification","Acceptable"))</x:f>
        <x:v>Acceptable</x:v>
      </x:c>
      <x:c r="J4" s="20" t="str">
        <x:f t="shared" si="0">IF(COUNTIF(F4:I4,"Critical")&gt;0,"High",IF(COUNTIF(F4:I4,"Clarification")&gt;0,"Medium","Low"))</x:f>
        <x:v>Medium</x:v>
      </x:c>
      <x:c r="K4" s="20" t="str">
        <x:f>"Technical: "&amp;S4&amp;" Schedule: readiness "&amp;V4&amp;" weeks, deadline "&amp;P4&amp;" weeks, buffer "&amp;W4&amp;" weeks ("&amp;G4&amp;"). Commercial: gross margin "&amp;TEXT(X4,"0.0%")&amp;" ("&amp;H4&amp;"). Documentation: "&amp;U4&amp;" Result: "&amp;J4&amp;IF(J4="High"," because at least one domain is Critical.",IF(J4="Medium","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14 weeks, deadline 19 weeks, buffer 5 weeks (Acceptable). Commercial: gross margin 22.0% (Acceptable). Documentation: Model assumes drawings, installation scope and performance requirements are supplied. Result: Medium because clarification is required and no domain is Critical.</x:v>
      </x:c>
      <x:c r="L4" s="20" t="str">
        <x:f>IF(F4="Critical","Revise profile or connection. ",IF(F4="Clarification","Confirm connection and profile compatibility. ",""))&amp;IF(G4="Critical","Revise deadline or procurement/production plan. ",IF(G4="Clarification","Confirm capacity and protect the schedule buffer. ",""))&amp;IF(H4="Critical","Revise price or costs. ",IF(H4="Clarification","Confirm cost allowances and margin. ",""))&amp;IF(I4="Critical","Obtain drawings and performance requirements. ",IF(I4="Clarification","Confirm installation scope. ",""))&amp;IF(J4="Low","Proceed to routine tender checks.","")</x:f>
        <x:v>Confirm connection and profile compatibility. </x:v>
      </x:c>
      <x:c r="M4" s="20" t="str">
        <x:f t="shared" si="1">IF(J4=B4,"Matches legacy label","Different from legacy label")</x:f>
        <x:v>Different from legacy label</x:v>
      </x:c>
      <x:c r="N4" s="19" t="n">
        <x:v>12</x:v>
      </x:c>
      <x:c r="O4" s="19" t="n">
        <x:v>320</x:v>
      </x:c>
      <x:c r="P4" s="19" t="n">
        <x:v>19</x:v>
      </x:c>
      <x:c r="Q4" s="23" t="n">
        <x:v>55698.24</x:v>
      </x:c>
      <x:c r="R4" s="19" t="n">
        <x:v>1</x:v>
      </x:c>
      <x:c r="S4" s="21" t="str">
        <x:f>IF(R4=2,"Model assumes the specified connection cannot fit the selected profile geometry; redesign or profile substitution is required.",IF(R4=1,"Model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4" s="19" t="n">
        <x:v>0</x:v>
      </x:c>
      <x:c r="U4" s="21" t="str">
        <x:f>IF(T4&gt;=2,"Model assumes both final drawings and performance requirements are absent, preventing confirmation of scope and price.",IF(T4=1,"Model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4" s="12" t="n">
        <x:f>N4+ROUNDUP('Original data'!F4/O4,0)</x:f>
        <x:v>14</x:v>
      </x:c>
      <x:c r="W4" s="12" t="n">
        <x:f>P4-V4</x:f>
        <x:v>5</x:v>
      </x:c>
      <x:c r="X4" s="22" t="n">
        <x:f>ROUND(('Original data'!E4-Q4)/'Original data'!E4,10)</x:f>
        <x:v>0.22</x:v>
      </x:c>
      <x:c r="Y4" s="12" t="str">
        <x:v>Synthetic domain-informed scenario; seed 20261002</x:v>
      </x:c>
      <x:c r="Z4" s="12" t="str">
        <x:v>Scenario 003</x:v>
      </x:c>
    </x:row>
    <x:row r="5" ht="140" customHeight="1">
      <x:c r="A5" s="13" t="s">
        <x:v>5</x:v>
      </x:c>
      <x:c r="B5" s="13" t="s">
        <x:v>3</x:v>
      </x:c>
      <x:c r="C5" s="13" t="s">
        <x:v>3</x:v>
      </x:c>
      <x:c r="D5" s="13" t="str">
        <x:v>Synthetic scenario 004. Elements: Windows + Curtain Wall. Systems: AWS 75.SI+ / FWS 50. Complexity: High; profile: Non-standard; wind: Low; region: Inland. Value GBP 311,147; fabrication 3000 h. Physical dimensions and structural capacity are not calculated.</x:v>
      </x:c>
      <x:c r="E5" s="13" t="str">
        <x:v>All added conditions are synthetic assumptions. Statuses follow the Protocol; no historical outcomes or independent expert validation.</x:v>
      </x:c>
      <x:c r="F5" s="20" t="str">
        <x:f>IF(R5=2,"Critical",IF(R5=1,"Clarification","Acceptable"))</x:f>
        <x:v>Acceptable</x:v>
      </x:c>
      <x:c r="G5" s="20" t="str">
        <x:f>IF(W5&lt;0,"Critical",IF(W5&lt;'Protocol'!$B$25,"Clarification","Acceptable"))</x:f>
        <x:v>Acceptable</x:v>
      </x:c>
      <x:c r="H5" s="20" t="str">
        <x:f>IF(X5&lt;'Protocol'!$B$23,"Critical",IF(X5&lt;'Protocol'!$B$24,"Clarification","Acceptable"))</x:f>
        <x:v>Clarification</x:v>
      </x:c>
      <x:c r="I5" s="20" t="str">
        <x:f>IF(T5&gt;=2,"Critical",IF(T5=1,"Clarification","Acceptable"))</x:f>
        <x:v>Acceptable</x:v>
      </x:c>
      <x:c r="J5" s="20" t="str">
        <x:f t="shared" si="0">IF(COUNTIF(F5:I5,"Critical")&gt;0,"High",IF(COUNTIF(F5:I5,"Clarification")&gt;0,"Medium","Low"))</x:f>
        <x:v>Medium</x:v>
      </x:c>
      <x:c r="K5" s="20" t="str">
        <x:f>"Technical: "&amp;S5&amp;" Schedule: readiness "&amp;V5&amp;" weeks, deadline "&amp;P5&amp;" weeks, buffer "&amp;W5&amp;" weeks ("&amp;G5&amp;"). Commercial: gross margin "&amp;TEXT(X5,"0.0%")&amp;" ("&amp;H5&amp;"). Documentation: "&amp;U5&amp;" Result: "&amp;J5&amp;IF(J5="High"," because at least one domain is Critical.",IF(J5="Medium"," because clarification is required and no domain is Critical."," because all four domains are Acceptable."))</x:f>
        <x:v>Technical: Model assumes the selected configuration fulfils the stated requirements; no unresolved technical issue. Schedule: readiness 22 weeks, deadline 25 weeks, buffer 3 weeks (Acceptable). Commercial: gross margin 14.0% (Clarification). Documentation: Model assumes drawings, installation scope and performance requirements are supplied. Result: Medium because clarification is required and no domain is Critical.</x:v>
      </x:c>
      <x:c r="L5" s="20" t="str">
        <x:f>IF(F5="Critical","Revise profile or connection. ",IF(F5="Clarification","Confirm connection and profile compatibility. ",""))&amp;IF(G5="Critical","Revise deadline or procurement/production plan. ",IF(G5="Clarification","Confirm capacity and protect the schedule buffer. ",""))&amp;IF(H5="Critical","Revise price or costs. ",IF(H5="Clarification","Confirm cost allowances and margin. ",""))&amp;IF(I5="Critical","Obtain drawings and performance requirements. ",IF(I5="Clarification","Confirm installation scope. ",""))&amp;IF(J5="Low","Proceed to routine tender checks.","")</x:f>
        <x:v>Confirm cost allowances and margin. </x:v>
      </x:c>
      <x:c r="M5" s="20" t="str">
        <x:f t="shared" si="1">IF(J5=B5,"Matches legacy label","Different from legacy label")</x:f>
        <x:v>Different from legacy label</x:v>
      </x:c>
      <x:c r="N5" s="19" t="n">
        <x:v>12</x:v>
      </x:c>
      <x:c r="O5" s="19" t="n">
        <x:v>320</x:v>
      </x:c>
      <x:c r="P5" s="19" t="n">
        <x:v>25</x:v>
      </x:c>
      <x:c r="Q5" s="23" t="n">
        <x:v>267586.42</x:v>
      </x:c>
      <x:c r="R5" s="19" t="n">
        <x:v>0</x:v>
      </x:c>
      <x:c r="S5" s="21" t="str">
        <x:f>IF(R5=2,"Model assumes the specified connection cannot fit the selected profile geometry; redesign or profile substitution is required.",IF(R5=1,"Model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5" s="19" t="n">
        <x:v>0</x:v>
      </x:c>
      <x:c r="U5" s="21" t="str">
        <x:f>IF(T5&gt;=2,"Model assumes both final drawings and performance requirements are absent, preventing confirmation of scope and price.",IF(T5=1,"Model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5" s="12" t="n">
        <x:f>N5+ROUNDUP('Original data'!F5/O5,0)</x:f>
        <x:v>22</x:v>
      </x:c>
      <x:c r="W5" s="12" t="n">
        <x:f>P5-V5</x:f>
        <x:v>3</x:v>
      </x:c>
      <x:c r="X5" s="22" t="n">
        <x:f>ROUND(('Original data'!E5-Q5)/'Original data'!E5,10)</x:f>
        <x:v>0.14</x:v>
      </x:c>
      <x:c r="Y5" s="12" t="str">
        <x:v>Synthetic domain-informed scenario; seed 20261002</x:v>
      </x:c>
      <x:c r="Z5" s="12" t="str">
        <x:v>Scenario 004</x:v>
      </x:c>
    </x:row>
    <x:row r="6" ht="140" customHeight="1">
      <x:c r="A6" s="13" t="s">
        <x:v>6</x:v>
      </x:c>
      <x:c r="B6" s="13" t="s">
        <x:v>7</x:v>
      </x:c>
      <x:c r="C6" s="13" t="s">
        <x:v>1</x:v>
      </x:c>
      <x:c r="D6" s="13" t="str">
        <x:v>Synthetic scenario 005. Elements: Curtain Wall only. Systems: FWS 50. Complexity: Medium; profile: Standard; wind: Low; region: Coastal. Value GBP 307,163; fabrication 1210 h. Physical dimensions and structural capacity are not calculated.</x:v>
      </x:c>
      <x:c r="E6" s="13" t="str">
        <x:v>All added conditions are synthetic assumptions. Statuses follow the Protocol; no historical outcomes or independent expert validation.</x:v>
      </x:c>
      <x:c r="F6" s="20" t="str">
        <x:f>IF(R6=2,"Critical",IF(R6=1,"Clarification","Acceptable"))</x:f>
        <x:v>Acceptable</x:v>
      </x:c>
      <x:c r="G6" s="20" t="str">
        <x:f>IF(W6&lt;0,"Critical",IF(W6&lt;'Protocol'!$B$25,"Clarification","Acceptable"))</x:f>
        <x:v>Clarification</x:v>
      </x:c>
      <x:c r="H6" s="20" t="str">
        <x:f>IF(X6&lt;'Protocol'!$B$23,"Critical",IF(X6&lt;'Protocol'!$B$24,"Clarification","Acceptable"))</x:f>
        <x:v>Acceptable</x:v>
      </x:c>
      <x:c r="I6" s="20" t="str">
        <x:f>IF(T6&gt;=2,"Critical",IF(T6=1,"Clarification","Acceptable"))</x:f>
        <x:v>Clarification</x:v>
      </x:c>
      <x:c r="J6" s="20" t="str">
        <x:f t="shared" si="0">IF(COUNTIF(F6:I6,"Critical")&gt;0,"High",IF(COUNTIF(F6:I6,"Clarification")&gt;0,"Medium","Low"))</x:f>
        <x:v>Medium</x:v>
      </x:c>
      <x:c r="K6" s="20" t="str">
        <x:f>"Technical: "&amp;S6&amp;" Schedule: readiness "&amp;V6&amp;" weeks, deadline "&amp;P6&amp;" weeks, buffer "&amp;W6&amp;" weeks ("&amp;G6&amp;"). Commercial: gross margin "&amp;TEXT(X6,"0.0%")&amp;" ("&amp;H6&amp;"). Documentation: "&amp;U6&amp;" Result: "&amp;J6&amp;IF(J6="High"," because at least one domain is Critical.",IF(J6="Medium"," because clarification is required and no domain is Critical."," because all four domains are Acceptable."))</x:f>
        <x:v>Technical: Model assumes the selected configuration fulfils the stated requirements; no unresolved technical issue. Schedule: readiness 14 weeks, deadline 14 weeks, buffer 0 weeks (Clarification). Commercial: gross margin 22.0% (Acceptable). Documentation: Model assumes the installation scope requires written confirmation; drawings and performance requirements are supplied. Result: Medium because clarification is required and no domain is Critical.</x:v>
      </x:c>
      <x:c r="L6" s="20" t="str">
        <x:f>IF(F6="Critical","Revise profile or connection. ",IF(F6="Clarification","Confirm connection and profile compatibility. ",""))&amp;IF(G6="Critical","Revise deadline or procurement/production plan. ",IF(G6="Clarification","Confirm capacity and protect the schedule buffer. ",""))&amp;IF(H6="Critical","Revise price or costs. ",IF(H6="Clarification","Confirm cost allowances and margin. ",""))&amp;IF(I6="Critical","Obtain drawings and performance requirements. ",IF(I6="Clarification","Confirm installation scope. ",""))&amp;IF(J6="Low","Proceed to routine tender checks.","")</x:f>
        <x:v>Confirm capacity and protect the schedule buffer. Confirm installation scope. </x:v>
      </x:c>
      <x:c r="M6" s="20" t="str">
        <x:f t="shared" si="1">IF(J6=B6,"Matches legacy label","Different from legacy label")</x:f>
        <x:v>Different from legacy label</x:v>
      </x:c>
      <x:c r="N6" s="19" t="n">
        <x:v>10</x:v>
      </x:c>
      <x:c r="O6" s="19" t="n">
        <x:v>320</x:v>
      </x:c>
      <x:c r="P6" s="19" t="n">
        <x:v>14</x:v>
      </x:c>
      <x:c r="Q6" s="23" t="n">
        <x:v>239587.14</x:v>
      </x:c>
      <x:c r="R6" s="19" t="n">
        <x:v>0</x:v>
      </x:c>
      <x:c r="S6" s="21" t="str">
        <x:f>IF(R6=2,"Model assumes the specified connection cannot fit the selected profile geometry; redesign or profile substitution is required.",IF(R6=1,"Model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6" s="19" t="n">
        <x:v>1</x:v>
      </x:c>
      <x:c r="U6" s="21" t="str">
        <x:f>IF(T6&gt;=2,"Model assumes both final drawings and performance requirements are absent, preventing confirmation of scope and price.",IF(T6=1,"Model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6" s="12" t="n">
        <x:f>N6+ROUNDUP('Original data'!F6/O6,0)</x:f>
        <x:v>14</x:v>
      </x:c>
      <x:c r="W6" s="12" t="n">
        <x:f>P6-V6</x:f>
        <x:v>0</x:v>
      </x:c>
      <x:c r="X6" s="22" t="n">
        <x:f>ROUND(('Original data'!E6-Q6)/'Original data'!E6,10)</x:f>
        <x:v>0.22</x:v>
      </x:c>
      <x:c r="Y6" s="12" t="str">
        <x:v>Synthetic domain-informed scenario; seed 20261002</x:v>
      </x:c>
      <x:c r="Z6" s="12" t="str">
        <x:v>Scenario 005</x:v>
      </x:c>
    </x:row>
    <x:row r="7" ht="140" customHeight="1">
      <x:c r="A7" s="13" t="s">
        <x:v>8</x:v>
      </x:c>
      <x:c r="B7" s="13" t="s">
        <x:v>3</x:v>
      </x:c>
      <x:c r="C7" s="13" t="s">
        <x:v>3</x:v>
      </x:c>
      <x:c r="D7" s="13" t="str">
        <x:v>Synthetic scenario 006. Elements: Windows + Doors (HI). Systems: AWS 75.SI+ / ASE 80.HI. Complexity: High; profile: Non-standard; wind: Low; region: Coastal. Value GBP 64,185; fabrication 500 h. Physical dimensions and structural capacity are not calculated.</x:v>
      </x:c>
      <x:c r="E7" s="13" t="str">
        <x:v>All added conditions are synthetic assumptions. Statuses follow the Protocol; no historical outcomes or independent expert validation.</x:v>
      </x:c>
      <x:c r="F7" s="20" t="str">
        <x:f>IF(R7=2,"Critical",IF(R7=1,"Clarification","Acceptable"))</x:f>
        <x:v>Acceptable</x:v>
      </x:c>
      <x:c r="G7" s="20" t="str">
        <x:f>IF(W7&lt;0,"Critical",IF(W7&lt;'Protocol'!$B$25,"Clarification","Acceptable"))</x:f>
        <x:v>Acceptable</x:v>
      </x:c>
      <x:c r="H7" s="20" t="str">
        <x:f>IF(X7&lt;'Protocol'!$B$23,"Critical",IF(X7&lt;'Protocol'!$B$24,"Clarification","Acceptable"))</x:f>
        <x:v>Acceptable</x:v>
      </x:c>
      <x:c r="I7" s="20" t="str">
        <x:f>IF(T7&gt;=2,"Critical",IF(T7=1,"Clarification","Acceptable"))</x:f>
        <x:v>Clarification</x:v>
      </x:c>
      <x:c r="J7" s="20" t="str">
        <x:f t="shared" si="0">IF(COUNTIF(F7:I7,"Critical")&gt;0,"High",IF(COUNTIF(F7:I7,"Clarification")&gt;0,"Medium","Low"))</x:f>
        <x:v>Medium</x:v>
      </x:c>
      <x:c r="K7" s="20" t="str">
        <x:f>"Technical: "&amp;S7&amp;" Schedule: readiness "&amp;V7&amp;" weeks, deadline "&amp;P7&amp;" weeks, buffer "&amp;W7&amp;" weeks ("&amp;G7&amp;"). Commercial: gross margin "&amp;TEXT(X7,"0.0%")&amp;" ("&amp;H7&amp;"). Documentation: "&amp;U7&amp;" Result: "&amp;J7&amp;IF(J7="High"," because at least one domain is Critical.",IF(J7="Medium"," because clarification is required and no domain is Critical."," because all four domains are Acceptable."))</x:f>
        <x:v>Technical: Model assumes the selected configuration fulfils the stated requirements; no unresolved technical issue. Schedule: readiness 16 weeks, deadline 19 weeks, buffer 3 weeks (Acceptable). Commercial: gross margin 26.0% (Acceptable). Documentation: Model assumes the installation scope requires written confirmation; drawings and performance requirements are supplied. Result: Medium because clarification is required and no domain is Critical.</x:v>
      </x:c>
      <x:c r="L7" s="20" t="str">
        <x:f>IF(F7="Critical","Revise profile or connection. ",IF(F7="Clarification","Confirm connection and profile compatibility. ",""))&amp;IF(G7="Critical","Revise deadline or procurement/production plan. ",IF(G7="Clarification","Confirm capacity and protect the schedule buffer. ",""))&amp;IF(H7="Critical","Revise price or costs. ",IF(H7="Clarification","Confirm cost allowances and margin. ",""))&amp;IF(I7="Critical","Obtain drawings and performance requirements. ",IF(I7="Clarification","Confirm installation scope. ",""))&amp;IF(J7="Low","Proceed to routine tender checks.","")</x:f>
        <x:v>Confirm installation scope. </x:v>
      </x:c>
      <x:c r="M7" s="20" t="str">
        <x:f t="shared" si="1">IF(J7=B7,"Matches legacy label","Different from legacy label")</x:f>
        <x:v>Different from legacy label</x:v>
      </x:c>
      <x:c r="N7" s="19" t="n">
        <x:v>12</x:v>
      </x:c>
      <x:c r="O7" s="19" t="n">
        <x:v>160</x:v>
      </x:c>
      <x:c r="P7" s="19" t="n">
        <x:v>19</x:v>
      </x:c>
      <x:c r="Q7" s="23" t="n">
        <x:v>47496.9</x:v>
      </x:c>
      <x:c r="R7" s="19" t="n">
        <x:v>0</x:v>
      </x:c>
      <x:c r="S7" s="21" t="str">
        <x:f>IF(R7=2,"Model assumes the specified connection cannot fit the selected profile geometry; redesign or profile substitution is required.",IF(R7=1,"Model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7" s="19" t="n">
        <x:v>1</x:v>
      </x:c>
      <x:c r="U7" s="21" t="str">
        <x:f>IF(T7&gt;=2,"Model assumes both final drawings and performance requirements are absent, preventing confirmation of scope and price.",IF(T7=1,"Model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7" s="12" t="n">
        <x:f>N7+ROUNDUP('Original data'!F7/O7,0)</x:f>
        <x:v>16</x:v>
      </x:c>
      <x:c r="W7" s="12" t="n">
        <x:f>P7-V7</x:f>
        <x:v>3</x:v>
      </x:c>
      <x:c r="X7" s="22" t="n">
        <x:f>ROUND(('Original data'!E7-Q7)/'Original data'!E7,10)</x:f>
        <x:v>0.26</x:v>
      </x:c>
      <x:c r="Y7" s="12" t="str">
        <x:v>Synthetic domain-informed scenario; seed 20261002</x:v>
      </x:c>
      <x:c r="Z7" s="12" t="str">
        <x:v>Scenario 006</x:v>
      </x:c>
    </x:row>
    <x:row r="8" ht="140" customHeight="1">
      <x:c r="A8" s="13" t="s">
        <x:v>9</x:v>
      </x:c>
      <x:c r="B8" s="13" t="s">
        <x:v>7</x:v>
      </x:c>
      <x:c r="C8" s="13" t="s">
        <x:v>7</x:v>
      </x:c>
      <x:c r="D8" s="13" t="str">
        <x:v>Synthetic scenario 007. Elements: Curtain Wall only. Systems: FWS 50. Complexity: Medium; profile: Standard; wind: Low; region: Urban. Value GBP 148,911; fabrication 2000 h. Physical dimensions and structural capacity are not calculated.</x:v>
      </x:c>
      <x:c r="E8" s="13" t="str">
        <x:v>All added conditions are synthetic assumptions. Statuses follow the Protocol; no historical outcomes or independent expert validation.</x:v>
      </x:c>
      <x:c r="F8" s="20" t="str">
        <x:f>IF(R8=2,"Critical",IF(R8=1,"Clarification","Acceptable"))</x:f>
        <x:v>Acceptable</x:v>
      </x:c>
      <x:c r="G8" s="20" t="str">
        <x:f>IF(W8&lt;0,"Critical",IF(W8&lt;'Protocol'!$B$25,"Clarification","Acceptable"))</x:f>
        <x:v>Acceptable</x:v>
      </x:c>
      <x:c r="H8" s="20" t="str">
        <x:f>IF(X8&lt;'Protocol'!$B$23,"Critical",IF(X8&lt;'Protocol'!$B$24,"Clarification","Acceptable"))</x:f>
        <x:v>Clarification</x:v>
      </x:c>
      <x:c r="I8" s="20" t="str">
        <x:f>IF(T8&gt;=2,"Critical",IF(T8=1,"Clarification","Acceptable"))</x:f>
        <x:v>Acceptable</x:v>
      </x:c>
      <x:c r="J8" s="20" t="str">
        <x:f t="shared" si="0">IF(COUNTIF(F8:I8,"Critical")&gt;0,"High",IF(COUNTIF(F8:I8,"Clarification")&gt;0,"Medium","Low"))</x:f>
        <x:v>Medium</x:v>
      </x:c>
      <x:c r="K8" s="20" t="str">
        <x:f>"Technical: "&amp;S8&amp;" Schedule: readiness "&amp;V8&amp;" weeks, deadline "&amp;P8&amp;" weeks, buffer "&amp;W8&amp;" weeks ("&amp;G8&amp;"). Commercial: gross margin "&amp;TEXT(X8,"0.0%")&amp;" ("&amp;H8&amp;"). Documentation: "&amp;U8&amp;" Result: "&amp;J8&amp;IF(J8="High"," because at least one domain is Critical.",IF(J8="Medium"," because clarification is required and no domain is Critical."," because all four domains are Acceptable."))</x:f>
        <x:v>Technical: Model assumes the selected configuration fulfils the stated requirements; no unresolved technical issue. Schedule: readiness 17 weeks, deadline 20 weeks, buffer 3 weeks (Acceptable). Commercial: gross margin 14.0% (Clarification). Documentation: Model assumes drawings, installation scope and performance requirements are supplied. Result: Medium because clarification is required and no domain is Critical.</x:v>
      </x:c>
      <x:c r="L8" s="20" t="str">
        <x:f>IF(F8="Critical","Revise profile or connection. ",IF(F8="Clarification","Confirm connection and profile compatibility. ",""))&amp;IF(G8="Critical","Revise deadline or procurement/production plan. ",IF(G8="Clarification","Confirm capacity and protect the schedule buffer. ",""))&amp;IF(H8="Critical","Revise price or costs. ",IF(H8="Clarification","Confirm cost allowances and margin. ",""))&amp;IF(I8="Critical","Obtain drawings and performance requirements. ",IF(I8="Clarification","Confirm installation scope. ",""))&amp;IF(J8="Low","Proceed to routine tender checks.","")</x:f>
        <x:v>Confirm cost allowances and margin. </x:v>
      </x:c>
      <x:c r="M8" s="20" t="str">
        <x:f t="shared" si="1">IF(J8=B8,"Matches legacy label","Different from legacy label")</x:f>
        <x:v>Different from legacy label</x:v>
      </x:c>
      <x:c r="N8" s="19" t="n">
        <x:v>10</x:v>
      </x:c>
      <x:c r="O8" s="19" t="n">
        <x:v>320</x:v>
      </x:c>
      <x:c r="P8" s="19" t="n">
        <x:v>20</x:v>
      </x:c>
      <x:c r="Q8" s="23" t="n">
        <x:v>128063.46</x:v>
      </x:c>
      <x:c r="R8" s="19" t="n">
        <x:v>0</x:v>
      </x:c>
      <x:c r="S8" s="21" t="str">
        <x:f>IF(R8=2,"Model assumes the specified connection cannot fit the selected profile geometry; redesign or profile substitution is required.",IF(R8=1,"Model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8" s="19" t="n">
        <x:v>0</x:v>
      </x:c>
      <x:c r="U8" s="21" t="str">
        <x:f>IF(T8&gt;=2,"Model assumes both final drawings and performance requirements are absent, preventing confirmation of scope and price.",IF(T8=1,"Model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8" s="12" t="n">
        <x:f>N8+ROUNDUP('Original data'!F8/O8,0)</x:f>
        <x:v>17</x:v>
      </x:c>
      <x:c r="W8" s="12" t="n">
        <x:f>P8-V8</x:f>
        <x:v>3</x:v>
      </x:c>
      <x:c r="X8" s="22" t="n">
        <x:f>ROUND(('Original data'!E8-Q8)/'Original data'!E8,10)</x:f>
        <x:v>0.14</x:v>
      </x:c>
      <x:c r="Y8" s="12" t="str">
        <x:v>Synthetic domain-informed scenario; seed 20261002</x:v>
      </x:c>
      <x:c r="Z8" s="12" t="str">
        <x:v>Scenario 007</x:v>
      </x:c>
    </x:row>
    <x:row r="9" ht="140" customHeight="1">
      <x:c r="A9" s="13" t="s">
        <x:v>10</x:v>
      </x:c>
      <x:c r="B9" s="13" t="s">
        <x:v>7</x:v>
      </x:c>
      <x:c r="C9" s="13" t="s">
        <x:v>7</x:v>
      </x:c>
      <x:c r="D9" s="13" t="str">
        <x:v>Synthetic scenario 008. Elements: Curtain Wall only. Systems: FWS 50. Complexity: Medium; profile: Standard; wind: Low; region: Inland. Value GBP 73,897; fabrication 1400 h. Physical dimensions and structural capacity are not calculated.</x:v>
      </x:c>
      <x:c r="E9" s="13" t="str">
        <x:v>All added conditions are synthetic assumptions. Statuses follow the Protocol; no historical outcomes or independent expert validation.</x:v>
      </x:c>
      <x:c r="F9" s="20" t="str">
        <x:f>IF(R9=2,"Critical",IF(R9=1,"Clarification","Acceptable"))</x:f>
        <x:v>Acceptable</x:v>
      </x:c>
      <x:c r="G9" s="20" t="str">
        <x:f>IF(W9&lt;0,"Critical",IF(W9&lt;'Protocol'!$B$25,"Clarification","Acceptable"))</x:f>
        <x:v>Acceptable</x:v>
      </x:c>
      <x:c r="H9" s="20" t="str">
        <x:f>IF(X9&lt;'Protocol'!$B$23,"Critical",IF(X9&lt;'Protocol'!$B$24,"Clarification","Acceptable"))</x:f>
        <x:v>Acceptable</x:v>
      </x:c>
      <x:c r="I9" s="20" t="str">
        <x:f>IF(T9&gt;=2,"Critical",IF(T9=1,"Clarification","Acceptable"))</x:f>
        <x:v>Acceptable</x:v>
      </x:c>
      <x:c r="J9" s="20" t="str">
        <x:f t="shared" si="0">IF(COUNTIF(F9:I9,"Critical")&gt;0,"High",IF(COUNTIF(F9:I9,"Clarification")&gt;0,"Medium","Low"))</x:f>
        <x:v>Low</x:v>
      </x:c>
      <x:c r="K9" s="20" t="str">
        <x:f>"Technical: "&amp;S9&amp;" Schedule: readiness "&amp;V9&amp;" weeks, deadline "&amp;P9&amp;" weeks, buffer "&amp;W9&amp;" weeks ("&amp;G9&amp;"). Commercial: gross margin "&amp;TEXT(X9,"0.0%")&amp;" ("&amp;H9&amp;"). Documentation: "&amp;U9&amp;" Result: "&amp;J9&amp;IF(J9="High"," because at least one domain is Critical.",IF(J9="Medium"," because clarification is required and no domain is Critical."," because all four domains are Acceptable."))</x:f>
        <x:v>Technical: Model assumes the selected configuration fulfils the stated requirements; no unresolved technical issue. Schedule: readiness 19 weeks, deadline 22 weeks, buffer 3 weeks (Acceptable). Commercial: gross margin 22.0% (Acceptable). Documentation: Model assumes drawings, installation scope and performance requirements are supplied. Result: Low because all four domains are Acceptable.</x:v>
      </x:c>
      <x:c r="L9" s="20" t="str">
        <x:f>IF(F9="Critical","Revise profile or connection. ",IF(F9="Clarification","Confirm connection and profile compatibility. ",""))&amp;IF(G9="Critical","Revise deadline or procurement/production plan. ",IF(G9="Clarification","Confirm capacity and protect the schedule buffer. ",""))&amp;IF(H9="Critical","Revise price or costs. ",IF(H9="Clarification","Confirm cost allowances and margin. ",""))&amp;IF(I9="Critical","Obtain drawings and performance requirements. ",IF(I9="Clarification","Confirm installation scope. ",""))&amp;IF(J9="Low","Proceed to routine tender checks.","")</x:f>
        <x:v>Proceed to routine tender checks.</x:v>
      </x:c>
      <x:c r="M9" s="20" t="str">
        <x:f t="shared" si="1">IF(J9=B9,"Matches legacy label","Different from legacy label")</x:f>
        <x:v>Matches legacy label</x:v>
      </x:c>
      <x:c r="N9" s="19" t="n">
        <x:v>10</x:v>
      </x:c>
      <x:c r="O9" s="19" t="n">
        <x:v>160</x:v>
      </x:c>
      <x:c r="P9" s="19" t="n">
        <x:v>22</x:v>
      </x:c>
      <x:c r="Q9" s="23" t="n">
        <x:v>57639.66</x:v>
      </x:c>
      <x:c r="R9" s="19" t="n">
        <x:v>0</x:v>
      </x:c>
      <x:c r="S9" s="21" t="str">
        <x:f>IF(R9=2,"Model assumes the specified connection cannot fit the selected profile geometry; redesign or profile substitution is required.",IF(R9=1,"Model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9" s="19" t="n">
        <x:v>0</x:v>
      </x:c>
      <x:c r="U9" s="21" t="str">
        <x:f>IF(T9&gt;=2,"Model assumes both final drawings and performance requirements are absent, preventing confirmation of scope and price.",IF(T9=1,"Model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9" s="12" t="n">
        <x:f>N9+ROUNDUP('Original data'!F9/O9,0)</x:f>
        <x:v>19</x:v>
      </x:c>
      <x:c r="W9" s="12" t="n">
        <x:f>P9-V9</x:f>
        <x:v>3</x:v>
      </x:c>
      <x:c r="X9" s="22" t="n">
        <x:f>ROUND(('Original data'!E9-Q9)/'Original data'!E9,10)</x:f>
        <x:v>0.22</x:v>
      </x:c>
      <x:c r="Y9" s="12" t="str">
        <x:v>Synthetic domain-informed scenario; seed 20261002</x:v>
      </x:c>
      <x:c r="Z9" s="12" t="str">
        <x:v>Scenario 008</x:v>
      </x:c>
    </x:row>
    <x:row r="10" ht="140" customHeight="1">
      <x:c r="A10" s="13" t="s">
        <x:v>11</x:v>
      </x:c>
      <x:c r="B10" s="13" t="s">
        <x:v>7</x:v>
      </x:c>
      <x:c r="C10" s="13" t="s">
        <x:v>7</x:v>
      </x:c>
      <x:c r="D10" s="13" t="str">
        <x:v>Synthetic scenario 009. Elements: Curtain Wall only. Systems: FWS 50. Complexity: Medium; profile: Standard; wind: Low; region: Urban. Value GBP 60,964; fabrication 800 h. Physical dimensions and structural capacity are not calculated.</x:v>
      </x:c>
      <x:c r="E10" s="13" t="str">
        <x:v>All added conditions are synthetic assumptions. Statuses follow the Protocol; no historical outcomes or independent expert validation.</x:v>
      </x:c>
      <x:c r="F10" s="20" t="str">
        <x:f>IF(R10=2,"Critical",IF(R10=1,"Clarification","Acceptable"))</x:f>
        <x:v>Critical</x:v>
      </x:c>
      <x:c r="G10" s="20" t="str">
        <x:f>IF(W10&lt;0,"Critical",IF(W10&lt;'Protocol'!$B$25,"Clarification","Acceptable"))</x:f>
        <x:v>Clarification</x:v>
      </x:c>
      <x:c r="H10" s="20" t="str">
        <x:f>IF(X10&lt;'Protocol'!$B$23,"Critical",IF(X10&lt;'Protocol'!$B$24,"Clarification","Acceptable"))</x:f>
        <x:v>Acceptable</x:v>
      </x:c>
      <x:c r="I10" s="20" t="str">
        <x:f>IF(T10&gt;=2,"Critical",IF(T10=1,"Clarification","Acceptable"))</x:f>
        <x:v>Acceptable</x:v>
      </x:c>
      <x:c r="J10" s="20" t="str">
        <x:f t="shared" si="0">IF(COUNTIF(F10:I10,"Critical")&gt;0,"High",IF(COUNTIF(F10:I10,"Clarification")&gt;0,"Medium","Low"))</x:f>
        <x:v>High</x:v>
      </x:c>
      <x:c r="K10" s="20" t="str">
        <x:f>"Technical: "&amp;S10&amp;" Schedule: readiness "&amp;V10&amp;" weeks, deadline "&amp;P10&amp;" weeks, buffer "&amp;W10&amp;" weeks ("&amp;G10&amp;"). Commercial: gross margin "&amp;TEXT(X10,"0.0%")&amp;" ("&amp;H10&amp;"). Documentation: "&amp;U10&amp;" Result: "&amp;J10&amp;IF(J10="High"," because at least one domain is Critical.",IF(J10="Medium"," because clarification is required and no domain is Critical."," because all four domains are Acceptable."))</x:f>
        <x:v>Technical: Model assumes the specified connection cannot fit the selected profile geometry; redesign or profile substitution is required. Schedule: readiness 13 weeks, deadline 14 weeks, buffer 1 weeks (Clarification). Commercial: gross margin 26.0% (Acceptable). Documentation: Model assumes drawings, installation scope and performance requirements are supplied. Result: High because at least one domain is Critical.</x:v>
      </x:c>
      <x:c r="L10" s="20" t="str">
        <x:f>IF(F10="Critical","Revise profile or connection. ",IF(F10="Clarification","Confirm connection and profile compatibility. ",""))&amp;IF(G10="Critical","Revise deadline or procurement/production plan. ",IF(G10="Clarification","Confirm capacity and protect the schedule buffer. ",""))&amp;IF(H10="Critical","Revise price or costs. ",IF(H10="Clarification","Confirm cost allowances and margin. ",""))&amp;IF(I10="Critical","Obtain drawings and performance requirements. ",IF(I10="Clarification","Confirm installation scope. ",""))&amp;IF(J10="Low","Proceed to routine tender checks.","")</x:f>
        <x:v>Revise profile or connection. Confirm capacity and protect the schedule buffer. </x:v>
      </x:c>
      <x:c r="M10" s="20" t="str">
        <x:f t="shared" si="1">IF(J10=B10,"Matches legacy label","Different from legacy label")</x:f>
        <x:v>Different from legacy label</x:v>
      </x:c>
      <x:c r="N10" s="19" t="n">
        <x:v>10</x:v>
      </x:c>
      <x:c r="O10" s="19" t="n">
        <x:v>320</x:v>
      </x:c>
      <x:c r="P10" s="19" t="n">
        <x:v>14</x:v>
      </x:c>
      <x:c r="Q10" s="23" t="n">
        <x:v>45113.36</x:v>
      </x:c>
      <x:c r="R10" s="19" t="n">
        <x:v>2</x:v>
      </x:c>
      <x:c r="S10" s="21" t="str">
        <x:f>IF(R10=2,"Model assumes the specified connection cannot fit the selected profile geometry; redesign or profile substitution is required.",IF(R10=1,"Model assumes connection and profile compatibility remain to be confirmed; no incompatibility has been established.","Model assumes the selected configuration fulfils the stated requirements; no unresolved technical issue."))</x:f>
        <x:v>Model assumes the specified connection cannot fit the selected profile geometry; redesign or profile substitution is required.</x:v>
      </x:c>
      <x:c r="T10" s="19" t="n">
        <x:v>0</x:v>
      </x:c>
      <x:c r="U10" s="21" t="str">
        <x:f>IF(T10&gt;=2,"Model assumes both final drawings and performance requirements are absent, preventing confirmation of scope and price.",IF(T10=1,"Model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0" s="12" t="n">
        <x:f>N10+ROUNDUP('Original data'!F10/O10,0)</x:f>
        <x:v>13</x:v>
      </x:c>
      <x:c r="W10" s="12" t="n">
        <x:f>P10-V10</x:f>
        <x:v>1</x:v>
      </x:c>
      <x:c r="X10" s="22" t="n">
        <x:f>ROUND(('Original data'!E10-Q10)/'Original data'!E10,10)</x:f>
        <x:v>0.26</x:v>
      </x:c>
      <x:c r="Y10" s="12" t="str">
        <x:v>Synthetic domain-informed scenario; seed 20261002</x:v>
      </x:c>
      <x:c r="Z10" s="12" t="str">
        <x:v>Scenario 009</x:v>
      </x:c>
    </x:row>
    <x:row r="11" ht="140" customHeight="1">
      <x:c r="A11" s="13" t="s">
        <x:v>12</x:v>
      </x:c>
      <x:c r="B11" s="13" t="s">
        <x:v>7</x:v>
      </x:c>
      <x:c r="C11" s="13" t="s">
        <x:v>1</x:v>
      </x:c>
      <x:c r="D11" s="13" t="str">
        <x:v>Synthetic scenario 010. Elements: Curtain Wall only. Systems: FWS 50. Complexity: Medium; profile: Standard; wind: Low; region: Coastal. Value GBP 173,659; fabrication 1182 h. Physical dimensions and structural capacity are not calculated.</x:v>
      </x:c>
      <x:c r="E11" s="13" t="str">
        <x:v>All added conditions are synthetic assumptions. Statuses follow the Protocol; no historical outcomes or independent expert validation.</x:v>
      </x:c>
      <x:c r="F11" s="20" t="str">
        <x:f>IF(R11=2,"Critical",IF(R11=1,"Clarification","Acceptable"))</x:f>
        <x:v>Critical</x:v>
      </x:c>
      <x:c r="G11" s="20" t="str">
        <x:f>IF(W11&lt;0,"Critical",IF(W11&lt;'Protocol'!$B$25,"Clarification","Acceptable"))</x:f>
        <x:v>Acceptable</x:v>
      </x:c>
      <x:c r="H11" s="20" t="str">
        <x:f>IF(X11&lt;'Protocol'!$B$23,"Critical",IF(X11&lt;'Protocol'!$B$24,"Clarification","Acceptable"))</x:f>
        <x:v>Acceptable</x:v>
      </x:c>
      <x:c r="I11" s="20" t="str">
        <x:f>IF(T11&gt;=2,"Critical",IF(T11=1,"Clarification","Acceptable"))</x:f>
        <x:v>Acceptable</x:v>
      </x:c>
      <x:c r="J11" s="20" t="str">
        <x:f t="shared" si="0">IF(COUNTIF(F11:I11,"Critical")&gt;0,"High",IF(COUNTIF(F11:I11,"Clarification")&gt;0,"Medium","Low"))</x:f>
        <x:v>High</x:v>
      </x:c>
      <x:c r="K11" s="20" t="str">
        <x:f>"Technical: "&amp;S11&amp;" Schedule: readiness "&amp;V11&amp;" weeks, deadline "&amp;P11&amp;" weeks, buffer "&amp;W11&amp;" weeks ("&amp;G11&amp;"). Commercial: gross margin "&amp;TEXT(X11,"0.0%")&amp;" ("&amp;H11&amp;"). Documentation: "&amp;U11&amp;" Result: "&amp;J11&amp;IF(J11="High"," because at least one domain is Critical.",IF(J11="Medium"," because clarification is required and no domain is Critical."," because all four domains are Acceptable."))</x:f>
        <x:v>Technical: Model assumes the specified connection cannot fit the selected profile geometry; redesign or profile substitution is required. Schedule: readiness 15 weeks, deadline 22 weeks, buffer 7 weeks (Acceptable). Commercial: gross margin 22.0% (Acceptable). Documentation: Model assumes drawings, installation scope and performance requirements are supplied. Result: High because at least one domain is Critical.</x:v>
      </x:c>
      <x:c r="L11" s="20" t="str">
        <x:f>IF(F11="Critical","Revise profile or connection. ",IF(F11="Clarification","Confirm connection and profile compatibility. ",""))&amp;IF(G11="Critical","Revise deadline or procurement/production plan. ",IF(G11="Clarification","Confirm capacity and protect the schedule buffer. ",""))&amp;IF(H11="Critical","Revise price or costs. ",IF(H11="Clarification","Confirm cost allowances and margin. ",""))&amp;IF(I11="Critical","Obtain drawings and performance requirements. ",IF(I11="Clarification","Confirm installation scope. ",""))&amp;IF(J11="Low","Proceed to routine tender checks.","")</x:f>
        <x:v>Revise profile or connection. </x:v>
      </x:c>
      <x:c r="M11" s="20" t="str">
        <x:f t="shared" si="1">IF(J11=B11,"Matches legacy label","Different from legacy label")</x:f>
        <x:v>Different from legacy label</x:v>
      </x:c>
      <x:c r="N11" s="19" t="n">
        <x:v>10</x:v>
      </x:c>
      <x:c r="O11" s="19" t="n">
        <x:v>240</x:v>
      </x:c>
      <x:c r="P11" s="19" t="n">
        <x:v>22</x:v>
      </x:c>
      <x:c r="Q11" s="23" t="n">
        <x:v>135454.02</x:v>
      </x:c>
      <x:c r="R11" s="19" t="n">
        <x:v>2</x:v>
      </x:c>
      <x:c r="S11" s="21" t="str">
        <x:f>IF(R11=2,"Model assumes the specified connection cannot fit the selected profile geometry; redesign or profile substitution is required.",IF(R11=1,"Model assumes connection and profile compatibility remain to be confirmed; no incompatibility has been established.","Model assumes the selected configuration fulfils the stated requirements; no unresolved technical issue."))</x:f>
        <x:v>Model assumes the specified connection cannot fit the selected profile geometry; redesign or profile substitution is required.</x:v>
      </x:c>
      <x:c r="T11" s="19" t="n">
        <x:v>0</x:v>
      </x:c>
      <x:c r="U11" s="21" t="str">
        <x:f>IF(T11&gt;=2,"Model assumes both final drawings and performance requirements are absent, preventing confirmation of scope and price.",IF(T11=1,"Model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1" s="12" t="n">
        <x:f>N11+ROUNDUP('Original data'!F11/O11,0)</x:f>
        <x:v>15</x:v>
      </x:c>
      <x:c r="W11" s="12" t="n">
        <x:f>P11-V11</x:f>
        <x:v>7</x:v>
      </x:c>
      <x:c r="X11" s="22" t="n">
        <x:f>ROUND(('Original data'!E11-Q11)/'Original data'!E11,10)</x:f>
        <x:v>0.22</x:v>
      </x:c>
      <x:c r="Y11" s="12" t="str">
        <x:v>Synthetic domain-informed scenario; seed 20261002</x:v>
      </x:c>
      <x:c r="Z11" s="12" t="str">
        <x:v>Scenario 010</x:v>
      </x:c>
    </x:row>
    <x:row r="12" ht="140" customHeight="1">
      <x:c r="A12" s="13" t="s">
        <x:v>13</x:v>
      </x:c>
      <x:c r="B12" s="13" t="s">
        <x:v>3</x:v>
      </x:c>
      <x:c r="C12" s="13" t="s">
        <x:v>3</x:v>
      </x:c>
      <x:c r="D12" s="13" t="str">
        <x:v>Synthetic scenario 011. Elements: Windows + Doors (High Insulation). Systems: AWS 75.SI+ / ASE 80.HI. Complexity: High; profile: Non-standard; wind: Low; region: Inland. Value GBP 433,000; fabrication 1542 h. Physical dimensions and structural capacity are not calculated.</x:v>
      </x:c>
      <x:c r="E12" s="13" t="str">
        <x:v>All added conditions are synthetic assumptions. Statuses follow the Protocol; no historical outcomes or independent expert validation.</x:v>
      </x:c>
      <x:c r="F12" s="20" t="str">
        <x:f>IF(R12=2,"Critical",IF(R12=1,"Clarification","Acceptable"))</x:f>
        <x:v>Acceptable</x:v>
      </x:c>
      <x:c r="G12" s="20" t="str">
        <x:f>IF(W12&lt;0,"Critical",IF(W12&lt;'Protocol'!$B$25,"Clarification","Acceptable"))</x:f>
        <x:v>Critical</x:v>
      </x:c>
      <x:c r="H12" s="20" t="str">
        <x:f>IF(X12&lt;'Protocol'!$B$23,"Critical",IF(X12&lt;'Protocol'!$B$24,"Clarification","Acceptable"))</x:f>
        <x:v>Acceptable</x:v>
      </x:c>
      <x:c r="I12" s="20" t="str">
        <x:f>IF(T12&gt;=2,"Critical",IF(T12=1,"Clarification","Acceptable"))</x:f>
        <x:v>Critical</x:v>
      </x:c>
      <x:c r="J12" s="20" t="str">
        <x:f t="shared" si="0">IF(COUNTIF(F12:I12,"Critical")&gt;0,"High",IF(COUNTIF(F12:I12,"Clarification")&gt;0,"Medium","Low"))</x:f>
        <x:v>High</x:v>
      </x:c>
      <x:c r="K12" s="20" t="str">
        <x:f>"Technical: "&amp;S12&amp;" Schedule: readiness "&amp;V12&amp;" weeks, deadline "&amp;P12&amp;" weeks, buffer "&amp;W12&amp;" weeks ("&amp;G12&amp;"). Commercial: gross margin "&amp;TEXT(X12,"0.0%")&amp;" ("&amp;H12&amp;"). Documentation: "&amp;U12&amp;" Result: "&amp;J12&amp;IF(J12="High"," because at least one domain is Critical.",IF(J12="Medium"," because clarification is required and no domain is Critical."," because all four domains are Acceptable."))</x:f>
        <x:v>Technical: Model assumes the selected configuration fulfils the stated requirements; no unresolved technical issue. Schedule: readiness 19 weeks, deadline 18 weeks, buffer -1 weeks (Critical). Commercial: gross margin 22.0% (Acceptable). Documentation: Model assumes both final drawings and performance requirements are absent, preventing confirmation of scope and price. Result: High because at least one domain is Critical.</x:v>
      </x:c>
      <x:c r="L12" s="20" t="str">
        <x:f>IF(F12="Critical","Revise profile or connection. ",IF(F12="Clarification","Confirm connection and profile compatibility. ",""))&amp;IF(G12="Critical","Revise deadline or procurement/production plan. ",IF(G12="Clarification","Confirm capacity and protect the schedule buffer. ",""))&amp;IF(H12="Critical","Revise price or costs. ",IF(H12="Clarification","Confirm cost allowances and margin. ",""))&amp;IF(I12="Critical","Obtain drawings and performance requirements. ",IF(I12="Clarification","Confirm installation scope. ",""))&amp;IF(J12="Low","Proceed to routine tender checks.","")</x:f>
        <x:v>Revise deadline or procurement/production plan. Obtain drawings and performance requirements. </x:v>
      </x:c>
      <x:c r="M12" s="20" t="str">
        <x:f t="shared" si="1">IF(J12=B12,"Matches legacy label","Different from legacy label")</x:f>
        <x:v>Matches legacy label</x:v>
      </x:c>
      <x:c r="N12" s="19" t="n">
        <x:v>12</x:v>
      </x:c>
      <x:c r="O12" s="19" t="n">
        <x:v>240</x:v>
      </x:c>
      <x:c r="P12" s="19" t="n">
        <x:v>18</x:v>
      </x:c>
      <x:c r="Q12" s="23" t="n">
        <x:v>337740</x:v>
      </x:c>
      <x:c r="R12" s="19" t="n">
        <x:v>0</x:v>
      </x:c>
      <x:c r="S12" s="21" t="str">
        <x:f>IF(R12=2,"Model assumes the specified connection cannot fit the selected profile geometry; redesign or profile substitution is required.",IF(R12=1,"Model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12" s="19" t="n">
        <x:v>2</x:v>
      </x:c>
      <x:c r="U12" s="21" t="str">
        <x:f>IF(T12&gt;=2,"Model assumes both final drawings and performance requirements are absent, preventing confirmation of scope and price.",IF(T12=1,"Model assumes the installation scope requires written confirmation; drawings and performance requirements are supplied.","Model assumes drawings, installation scope and performance requirements are supplied."))</x:f>
        <x:v>Model assumes both final drawings and performance requirements are absent, preventing confirmation of scope and price.</x:v>
      </x:c>
      <x:c r="V12" s="12" t="n">
        <x:f>N12+ROUNDUP('Original data'!F12/O12,0)</x:f>
        <x:v>19</x:v>
      </x:c>
      <x:c r="W12" s="12" t="n">
        <x:f>P12-V12</x:f>
        <x:v>-1</x:v>
      </x:c>
      <x:c r="X12" s="22" t="n">
        <x:f>ROUND(('Original data'!E12-Q12)/'Original data'!E12,10)</x:f>
        <x:v>0.22</x:v>
      </x:c>
      <x:c r="Y12" s="12" t="str">
        <x:v>Synthetic domain-informed scenario; seed 20261002</x:v>
      </x:c>
      <x:c r="Z12" s="12" t="str">
        <x:v>Scenario 011</x:v>
      </x:c>
    </x:row>
    <x:row r="13" ht="140" customHeight="1">
      <x:c r="A13" s="13" t="s">
        <x:v>14</x:v>
      </x:c>
      <x:c r="B13" s="13" t="s">
        <x:v>3</x:v>
      </x:c>
      <x:c r="C13" s="13" t="s">
        <x:v>1</x:v>
      </x:c>
      <x:c r="D13" s="13" t="str">
        <x:v>Synthetic scenario 012. Elements: Windows + Doors. Systems: AWS 75.SI+ / AD UP 75. Complexity: High; profile: Non-standard; wind: High; region: Industrial. Value GBP 121,000; fabrication 405 h. Physical dimensions and structural capacity are not calculated.</x:v>
      </x:c>
      <x:c r="E13" s="13" t="str">
        <x:v>All added conditions are synthetic assumptions. Statuses follow the Protocol; no historical outcomes or independent expert validation.</x:v>
      </x:c>
      <x:c r="F13" s="20" t="str">
        <x:f>IF(R13=2,"Critical",IF(R13=1,"Clarification","Acceptable"))</x:f>
        <x:v>Clarification</x:v>
      </x:c>
      <x:c r="G13" s="20" t="str">
        <x:f>IF(W13&lt;0,"Critical",IF(W13&lt;'Protocol'!$B$25,"Clarification","Acceptable"))</x:f>
        <x:v>Clarification</x:v>
      </x:c>
      <x:c r="H13" s="20" t="str">
        <x:f>IF(X13&lt;'Protocol'!$B$23,"Critical",IF(X13&lt;'Protocol'!$B$24,"Clarification","Acceptable"))</x:f>
        <x:v>Acceptable</x:v>
      </x:c>
      <x:c r="I13" s="20" t="str">
        <x:f>IF(T13&gt;=2,"Critical",IF(T13=1,"Clarification","Acceptable"))</x:f>
        <x:v>Clarification</x:v>
      </x:c>
      <x:c r="J13" s="20" t="str">
        <x:f t="shared" si="0">IF(COUNTIF(F13:I13,"Critical")&gt;0,"High",IF(COUNTIF(F13:I13,"Clarification")&gt;0,"Medium","Low"))</x:f>
        <x:v>Medium</x:v>
      </x:c>
      <x:c r="K13" s="20" t="str">
        <x:f>"Technical: "&amp;S13&amp;" Schedule: readiness "&amp;V13&amp;" weeks, deadline "&amp;P13&amp;" weeks, buffer "&amp;W13&amp;" weeks ("&amp;G13&amp;"). Commercial: gross margin "&amp;TEXT(X13,"0.0%")&amp;" ("&amp;H13&amp;"). Documentation: "&amp;U13&amp;" Result: "&amp;J13&amp;IF(J13="High"," because at least one domain is Critical.",IF(J13="Medium","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15 weeks, deadline 16 weeks, buffer 1 weeks (Clarification). Commercial: gross margin 22.0% (Acceptable). Documentation: Model assumes the installation scope requires written confirmation; drawings and performance requirements are supplied. Result: Medium because clarification is required and no domain is Critical.</x:v>
      </x:c>
      <x:c r="L13" s="20" t="str">
        <x:f>IF(F13="Critical","Revise profile or connection. ",IF(F13="Clarification","Confirm connection and profile compatibility. ",""))&amp;IF(G13="Critical","Revise deadline or procurement/production plan. ",IF(G13="Clarification","Confirm capacity and protect the schedule buffer. ",""))&amp;IF(H13="Critical","Revise price or costs. ",IF(H13="Clarification","Confirm cost allowances and margin. ",""))&amp;IF(I13="Critical","Obtain drawings and performance requirements. ",IF(I13="Clarification","Confirm installation scope. ",""))&amp;IF(J13="Low","Proceed to routine tender checks.","")</x:f>
        <x:v>Confirm connection and profile compatibility. Confirm capacity and protect the schedule buffer. Confirm installation scope. </x:v>
      </x:c>
      <x:c r="M13" s="20" t="str">
        <x:f t="shared" si="1">IF(J13=B13,"Matches legacy label","Different from legacy label")</x:f>
        <x:v>Different from legacy label</x:v>
      </x:c>
      <x:c r="N13" s="19" t="n">
        <x:v>12</x:v>
      </x:c>
      <x:c r="O13" s="19" t="n">
        <x:v>160</x:v>
      </x:c>
      <x:c r="P13" s="19" t="n">
        <x:v>16</x:v>
      </x:c>
      <x:c r="Q13" s="23" t="n">
        <x:v>94380</x:v>
      </x:c>
      <x:c r="R13" s="19" t="n">
        <x:v>1</x:v>
      </x:c>
      <x:c r="S13" s="21" t="str">
        <x:f>IF(R13=2,"Model assumes the specified connection cannot fit the selected profile geometry; redesign or profile substitution is required.",IF(R13=1,"Model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13" s="19" t="n">
        <x:v>1</x:v>
      </x:c>
      <x:c r="U13" s="21" t="str">
        <x:f>IF(T13&gt;=2,"Model assumes both final drawings and performance requirements are absent, preventing confirmation of scope and price.",IF(T13=1,"Model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13" s="12" t="n">
        <x:f>N13+ROUNDUP('Original data'!F13/O13,0)</x:f>
        <x:v>15</x:v>
      </x:c>
      <x:c r="W13" s="12" t="n">
        <x:f>P13-V13</x:f>
        <x:v>1</x:v>
      </x:c>
      <x:c r="X13" s="22" t="n">
        <x:f>ROUND(('Original data'!E13-Q13)/'Original data'!E13,10)</x:f>
        <x:v>0.22</x:v>
      </x:c>
      <x:c r="Y13" s="12" t="str">
        <x:v>Synthetic domain-informed scenario; seed 20261002</x:v>
      </x:c>
      <x:c r="Z13" s="12" t="str">
        <x:v>Scenario 012</x:v>
      </x:c>
    </x:row>
    <x:row r="14" ht="140" customHeight="1">
      <x:c r="A14" s="13" t="s">
        <x:v>15</x:v>
      </x:c>
      <x:c r="B14" s="13" t="s">
        <x:v>3</x:v>
      </x:c>
      <x:c r="C14" s="13" t="s">
        <x:v>3</x:v>
      </x:c>
      <x:c r="D14" s="13" t="str">
        <x:v>Synthetic scenario 013. Elements: Windows + Curtain Wall. Systems: AWS 75.SI+ / FWS 50. Complexity: High; profile: Standard; wind: High; region: Coastal. Value GBP 2,192,000; fabrication 6297 h. Physical dimensions and structural capacity are not calculated.</x:v>
      </x:c>
      <x:c r="E14" s="13" t="str">
        <x:v>All added conditions are synthetic assumptions. Statuses follow the Protocol; no historical outcomes or independent expert validation.</x:v>
      </x:c>
      <x:c r="F14" s="20" t="str">
        <x:f>IF(R14=2,"Critical",IF(R14=1,"Clarification","Acceptable"))</x:f>
        <x:v>Clarification</x:v>
      </x:c>
      <x:c r="G14" s="20" t="str">
        <x:f>IF(W14&lt;0,"Critical",IF(W14&lt;'Protocol'!$B$25,"Clarification","Acceptable"))</x:f>
        <x:v>Acceptable</x:v>
      </x:c>
      <x:c r="H14" s="20" t="str">
        <x:f>IF(X14&lt;'Protocol'!$B$23,"Critical",IF(X14&lt;'Protocol'!$B$24,"Clarification","Acceptable"))</x:f>
        <x:v>Clarification</x:v>
      </x:c>
      <x:c r="I14" s="20" t="str">
        <x:f>IF(T14&gt;=2,"Critical",IF(T14=1,"Clarification","Acceptable"))</x:f>
        <x:v>Acceptable</x:v>
      </x:c>
      <x:c r="J14" s="20" t="str">
        <x:f t="shared" si="0">IF(COUNTIF(F14:I14,"Critical")&gt;0,"High",IF(COUNTIF(F14:I14,"Clarification")&gt;0,"Medium","Low"))</x:f>
        <x:v>Medium</x:v>
      </x:c>
      <x:c r="K14" s="20" t="str">
        <x:f>"Technical: "&amp;S14&amp;" Schedule: readiness "&amp;V14&amp;" weeks, deadline "&amp;P14&amp;" weeks, buffer "&amp;W14&amp;" weeks ("&amp;G14&amp;"). Commercial: gross margin "&amp;TEXT(X14,"0.0%")&amp;" ("&amp;H14&amp;"). Documentation: "&amp;U14&amp;" Result: "&amp;J14&amp;IF(J14="High"," because at least one domain is Critical.",IF(J14="Medium","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37 weeks, deadline 44 weeks, buffer 7 weeks (Acceptable). Commercial: gross margin 12.0% (Clarification). Documentation: Model assumes drawings, installation scope and performance requirements are supplied. Result: Medium because clarification is required and no domain is Critical.</x:v>
      </x:c>
      <x:c r="L14" s="20" t="str">
        <x:f>IF(F14="Critical","Revise profile or connection. ",IF(F14="Clarification","Confirm connection and profile compatibility. ",""))&amp;IF(G14="Critical","Revise deadline or procurement/production plan. ",IF(G14="Clarification","Confirm capacity and protect the schedule buffer. ",""))&amp;IF(H14="Critical","Revise price or costs. ",IF(H14="Clarification","Confirm cost allowances and margin. ",""))&amp;IF(I14="Critical","Obtain drawings and performance requirements. ",IF(I14="Clarification","Confirm installation scope. ",""))&amp;IF(J14="Low","Proceed to routine tender checks.","")</x:f>
        <x:v>Confirm connection and profile compatibility. Confirm cost allowances and margin. </x:v>
      </x:c>
      <x:c r="M14" s="20" t="str">
        <x:f t="shared" si="1">IF(J14=B14,"Matches legacy label","Different from legacy label")</x:f>
        <x:v>Different from legacy label</x:v>
      </x:c>
      <x:c r="N14" s="19" t="n">
        <x:v>10</x:v>
      </x:c>
      <x:c r="O14" s="19" t="n">
        <x:v>240</x:v>
      </x:c>
      <x:c r="P14" s="19" t="n">
        <x:v>44</x:v>
      </x:c>
      <x:c r="Q14" s="23" t="n">
        <x:v>1928960</x:v>
      </x:c>
      <x:c r="R14" s="19" t="n">
        <x:v>1</x:v>
      </x:c>
      <x:c r="S14" s="21" t="str">
        <x:f>IF(R14=2,"Model assumes the specified connection cannot fit the selected profile geometry; redesign or profile substitution is required.",IF(R14=1,"Model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14" s="19" t="n">
        <x:v>0</x:v>
      </x:c>
      <x:c r="U14" s="21" t="str">
        <x:f>IF(T14&gt;=2,"Model assumes both final drawings and performance requirements are absent, preventing confirmation of scope and price.",IF(T14=1,"Model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4" s="12" t="n">
        <x:f>N14+ROUNDUP('Original data'!F14/O14,0)</x:f>
        <x:v>37</x:v>
      </x:c>
      <x:c r="W14" s="12" t="n">
        <x:f>P14-V14</x:f>
        <x:v>7</x:v>
      </x:c>
      <x:c r="X14" s="22" t="n">
        <x:f>ROUND(('Original data'!E14-Q14)/'Original data'!E14,10)</x:f>
        <x:v>0.12</x:v>
      </x:c>
      <x:c r="Y14" s="12" t="str">
        <x:v>Synthetic domain-informed scenario; seed 20261002</x:v>
      </x:c>
      <x:c r="Z14" s="12" t="str">
        <x:v>Scenario 013</x:v>
      </x:c>
    </x:row>
    <x:row r="15" ht="140" customHeight="1">
      <x:c r="A15" s="13" t="s">
        <x:v>16</x:v>
      </x:c>
      <x:c r="B15" s="13" t="s">
        <x:v>1</x:v>
      </x:c>
      <x:c r="C15" s="13" t="s">
        <x:v>1</x:v>
      </x:c>
      <x:c r="D15" s="13" t="str">
        <x:v>Synthetic scenario 014. Elements: Windows + Doors. Systems: AWS 75.SI+ / AD UP 75. Complexity: Medium; profile: Non-standard; wind: Low; region: Inland. Value GBP 40,000; fabrication 1106 h. Physical dimensions and structural capacity are not calculated.</x:v>
      </x:c>
      <x:c r="E15" s="13" t="str">
        <x:v>All added conditions are synthetic assumptions. Statuses follow the Protocol; no historical outcomes or independent expert validation.</x:v>
      </x:c>
      <x:c r="F15" s="20" t="str">
        <x:f>IF(R15=2,"Critical",IF(R15=1,"Clarification","Acceptable"))</x:f>
        <x:v>Acceptable</x:v>
      </x:c>
      <x:c r="G15" s="20" t="str">
        <x:f>IF(W15&lt;0,"Critical",IF(W15&lt;'Protocol'!$B$25,"Clarification","Acceptable"))</x:f>
        <x:v>Clarification</x:v>
      </x:c>
      <x:c r="H15" s="20" t="str">
        <x:f>IF(X15&lt;'Protocol'!$B$23,"Critical",IF(X15&lt;'Protocol'!$B$24,"Clarification","Acceptable"))</x:f>
        <x:v>Critical</x:v>
      </x:c>
      <x:c r="I15" s="20" t="str">
        <x:f>IF(T15&gt;=2,"Critical",IF(T15=1,"Clarification","Acceptable"))</x:f>
        <x:v>Acceptable</x:v>
      </x:c>
      <x:c r="J15" s="20" t="str">
        <x:f t="shared" si="0">IF(COUNTIF(F15:I15,"Critical")&gt;0,"High",IF(COUNTIF(F15:I15,"Clarification")&gt;0,"Medium","Low"))</x:f>
        <x:v>High</x:v>
      </x:c>
      <x:c r="K15" s="20" t="str">
        <x:f>"Technical: "&amp;S15&amp;" Schedule: readiness "&amp;V15&amp;" weeks, deadline "&amp;P15&amp;" weeks, buffer "&amp;W15&amp;" weeks ("&amp;G15&amp;"). Commercial: gross margin "&amp;TEXT(X15,"0.0%")&amp;" ("&amp;H15&amp;"). Documentation: "&amp;U15&amp;" Result: "&amp;J15&amp;IF(J15="High"," because at least one domain is Critical.",IF(J15="Medium"," because clarification is required and no domain is Critical."," because all four domains are Acceptable."))</x:f>
        <x:v>Technical: Model assumes the selected configuration fulfils the stated requirements; no unresolved technical issue. Schedule: readiness 19 weeks, deadline 19 weeks, buffer 0 weeks (Clarification). Commercial: gross margin 9.0% (Critical). Documentation: Model assumes drawings, installation scope and performance requirements are supplied. Result: High because at least one domain is Critical.</x:v>
      </x:c>
      <x:c r="L15" s="20" t="str">
        <x:f>IF(F15="Critical","Revise profile or connection. ",IF(F15="Clarification","Confirm connection and profile compatibility. ",""))&amp;IF(G15="Critical","Revise deadline or procurement/production plan. ",IF(G15="Clarification","Confirm capacity and protect the schedule buffer. ",""))&amp;IF(H15="Critical","Revise price or costs. ",IF(H15="Clarification","Confirm cost allowances and margin. ",""))&amp;IF(I15="Critical","Obtain drawings and performance requirements. ",IF(I15="Clarification","Confirm installation scope. ",""))&amp;IF(J15="Low","Proceed to routine tender checks.","")</x:f>
        <x:v>Confirm capacity and protect the schedule buffer. Revise price or costs. </x:v>
      </x:c>
      <x:c r="M15" s="20" t="str">
        <x:f t="shared" si="1">IF(J15=B15,"Matches legacy label","Different from legacy label")</x:f>
        <x:v>Different from legacy label</x:v>
      </x:c>
      <x:c r="N15" s="19" t="n">
        <x:v>12</x:v>
      </x:c>
      <x:c r="O15" s="19" t="n">
        <x:v>160</x:v>
      </x:c>
      <x:c r="P15" s="19" t="n">
        <x:v>19</x:v>
      </x:c>
      <x:c r="Q15" s="23" t="n">
        <x:v>36400</x:v>
      </x:c>
      <x:c r="R15" s="19" t="n">
        <x:v>0</x:v>
      </x:c>
      <x:c r="S15" s="21" t="str">
        <x:f>IF(R15=2,"Model assumes the specified connection cannot fit the selected profile geometry; redesign or profile substitution is required.",IF(R15=1,"Model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15" s="19" t="n">
        <x:v>0</x:v>
      </x:c>
      <x:c r="U15" s="21" t="str">
        <x:f>IF(T15&gt;=2,"Model assumes both final drawings and performance requirements are absent, preventing confirmation of scope and price.",IF(T15=1,"Model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5" s="12" t="n">
        <x:f>N15+ROUNDUP('Original data'!F15/O15,0)</x:f>
        <x:v>19</x:v>
      </x:c>
      <x:c r="W15" s="12" t="n">
        <x:f>P15-V15</x:f>
        <x:v>0</x:v>
      </x:c>
      <x:c r="X15" s="22" t="n">
        <x:f>ROUND(('Original data'!E15-Q15)/'Original data'!E15,10)</x:f>
        <x:v>0.09</x:v>
      </x:c>
      <x:c r="Y15" s="12" t="str">
        <x:v>Synthetic domain-informed scenario; seed 20261002</x:v>
      </x:c>
      <x:c r="Z15" s="12" t="str">
        <x:v>Scenario 014</x:v>
      </x:c>
    </x:row>
    <x:row r="16" ht="140" customHeight="1">
      <x:c r="A16" s="13" t="s">
        <x:v>17</x:v>
      </x:c>
      <x:c r="B16" s="13" t="s">
        <x:v>3</x:v>
      </x:c>
      <x:c r="C16" s="13" t="s">
        <x:v>3</x:v>
      </x:c>
      <x:c r="D16" s="13" t="str">
        <x:v>Synthetic scenario 015. Elements: Curtain Wall only. Systems: FWS 60. Complexity: High; profile: Standard; wind: High; region: Inland. Value GBP 2,664,000; fabrication 6969 h. Physical dimensions and structural capacity are not calculated.</x:v>
      </x:c>
      <x:c r="E16" s="13" t="str">
        <x:v>All added conditions are synthetic assumptions. Statuses follow the Protocol; no historical outcomes or independent expert validation.</x:v>
      </x:c>
      <x:c r="F16" s="20" t="str">
        <x:f>IF(R16=2,"Critical",IF(R16=1,"Clarification","Acceptable"))</x:f>
        <x:v>Acceptable</x:v>
      </x:c>
      <x:c r="G16" s="20" t="str">
        <x:f>IF(W16&lt;0,"Critical",IF(W16&lt;'Protocol'!$B$25,"Clarification","Acceptable"))</x:f>
        <x:v>Acceptable</x:v>
      </x:c>
      <x:c r="H16" s="20" t="str">
        <x:f>IF(X16&lt;'Protocol'!$B$23,"Critical",IF(X16&lt;'Protocol'!$B$24,"Clarification","Acceptable"))</x:f>
        <x:v>Critical</x:v>
      </x:c>
      <x:c r="I16" s="20" t="str">
        <x:f>IF(T16&gt;=2,"Critical",IF(T16=1,"Clarification","Acceptable"))</x:f>
        <x:v>Acceptable</x:v>
      </x:c>
      <x:c r="J16" s="20" t="str">
        <x:f t="shared" si="0">IF(COUNTIF(F16:I16,"Critical")&gt;0,"High",IF(COUNTIF(F16:I16,"Clarification")&gt;0,"Medium","Low"))</x:f>
        <x:v>High</x:v>
      </x:c>
      <x:c r="K16" s="20" t="str">
        <x:f>"Technical: "&amp;S16&amp;" Schedule: readiness "&amp;V16&amp;" weeks, deadline "&amp;P16&amp;" weeks, buffer "&amp;W16&amp;" weeks ("&amp;G16&amp;"). Commercial: gross margin "&amp;TEXT(X16,"0.0%")&amp;" ("&amp;H16&amp;"). Documentation: "&amp;U16&amp;" Result: "&amp;J16&amp;IF(J16="High"," because at least one domain is Critical.",IF(J16="Medium"," because clarification is required and no domain is Critical."," because all four domains are Acceptable."))</x:f>
        <x:v>Technical: Model assumes the selected configuration fulfils the stated requirements; no unresolved technical issue. Schedule: readiness 32 weeks, deadline 37 weeks, buffer 5 weeks (Acceptable). Commercial: gross margin 9.0% (Critical). Documentation: Model assumes drawings, installation scope and performance requirements are supplied. Result: High because at least one domain is Critical.</x:v>
      </x:c>
      <x:c r="L16" s="20" t="str">
        <x:f>IF(F16="Critical","Revise profile or connection. ",IF(F16="Clarification","Confirm connection and profile compatibility. ",""))&amp;IF(G16="Critical","Revise deadline or procurement/production plan. ",IF(G16="Clarification","Confirm capacity and protect the schedule buffer. ",""))&amp;IF(H16="Critical","Revise price or costs. ",IF(H16="Clarification","Confirm cost allowances and margin. ",""))&amp;IF(I16="Critical","Obtain drawings and performance requirements. ",IF(I16="Clarification","Confirm installation scope. ",""))&amp;IF(J16="Low","Proceed to routine tender checks.","")</x:f>
        <x:v>Revise price or costs. </x:v>
      </x:c>
      <x:c r="M16" s="20" t="str">
        <x:f t="shared" si="1">IF(J16=B16,"Matches legacy label","Different from legacy label")</x:f>
        <x:v>Matches legacy label</x:v>
      </x:c>
      <x:c r="N16" s="19" t="n">
        <x:v>10</x:v>
      </x:c>
      <x:c r="O16" s="19" t="n">
        <x:v>320</x:v>
      </x:c>
      <x:c r="P16" s="19" t="n">
        <x:v>37</x:v>
      </x:c>
      <x:c r="Q16" s="23" t="n">
        <x:v>2424240</x:v>
      </x:c>
      <x:c r="R16" s="19" t="n">
        <x:v>0</x:v>
      </x:c>
      <x:c r="S16" s="21" t="str">
        <x:f>IF(R16=2,"Model assumes the specified connection cannot fit the selected profile geometry; redesign or profile substitution is required.",IF(R16=1,"Model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16" s="19" t="n">
        <x:v>0</x:v>
      </x:c>
      <x:c r="U16" s="21" t="str">
        <x:f>IF(T16&gt;=2,"Model assumes both final drawings and performance requirements are absent, preventing confirmation of scope and price.",IF(T16=1,"Model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6" s="12" t="n">
        <x:f>N16+ROUNDUP('Original data'!F16/O16,0)</x:f>
        <x:v>32</x:v>
      </x:c>
      <x:c r="W16" s="12" t="n">
        <x:f>P16-V16</x:f>
        <x:v>5</x:v>
      </x:c>
      <x:c r="X16" s="22" t="n">
        <x:f>ROUND(('Original data'!E16-Q16)/'Original data'!E16,10)</x:f>
        <x:v>0.09</x:v>
      </x:c>
      <x:c r="Y16" s="12" t="str">
        <x:v>Synthetic domain-informed scenario; seed 20261002</x:v>
      </x:c>
      <x:c r="Z16" s="12" t="str">
        <x:v>Scenario 015</x:v>
      </x:c>
    </x:row>
    <x:row r="17" ht="140" customHeight="1">
      <x:c r="A17" s="13" t="s">
        <x:v>18</x:v>
      </x:c>
      <x:c r="B17" s="13" t="s">
        <x:v>7</x:v>
      </x:c>
      <x:c r="C17" s="13" t="s">
        <x:v>7</x:v>
      </x:c>
      <x:c r="D17" s="13" t="str">
        <x:v>Synthetic scenario 016. Elements: Windows + Doors + Curtain Wall. Systems: AWS 75.SI+ / FWS 50 / AD UP 75. Complexity: Medium; profile: Standard; wind: Low; region: Urban. Value GBP 45,000; fabrication 575 h. Physical dimensions and structural capacity are not calculated.</x:v>
      </x:c>
      <x:c r="E17" s="13" t="str">
        <x:v>All added conditions are synthetic assumptions. Statuses follow the Protocol; no historical outcomes or independent expert validation.</x:v>
      </x:c>
      <x:c r="F17" s="20" t="str">
        <x:f>IF(R17=2,"Critical",IF(R17=1,"Clarification","Acceptable"))</x:f>
        <x:v>Acceptable</x:v>
      </x:c>
      <x:c r="G17" s="20" t="str">
        <x:f>IF(W17&lt;0,"Critical",IF(W17&lt;'Protocol'!$B$25,"Clarification","Acceptable"))</x:f>
        <x:v>Acceptable</x:v>
      </x:c>
      <x:c r="H17" s="20" t="str">
        <x:f>IF(X17&lt;'Protocol'!$B$23,"Critical",IF(X17&lt;'Protocol'!$B$24,"Clarification","Acceptable"))</x:f>
        <x:v>Acceptable</x:v>
      </x:c>
      <x:c r="I17" s="20" t="str">
        <x:f>IF(T17&gt;=2,"Critical",IF(T17=1,"Clarification","Acceptable"))</x:f>
        <x:v>Clarification</x:v>
      </x:c>
      <x:c r="J17" s="20" t="str">
        <x:f t="shared" si="0">IF(COUNTIF(F17:I17,"Critical")&gt;0,"High",IF(COUNTIF(F17:I17,"Clarification")&gt;0,"Medium","Low"))</x:f>
        <x:v>Medium</x:v>
      </x:c>
      <x:c r="K17" s="20" t="str">
        <x:f>"Technical: "&amp;S17&amp;" Schedule: readiness "&amp;V17&amp;" weeks, deadline "&amp;P17&amp;" weeks, buffer "&amp;W17&amp;" weeks ("&amp;G17&amp;"). Commercial: gross margin "&amp;TEXT(X17,"0.0%")&amp;" ("&amp;H17&amp;"). Documentation: "&amp;U17&amp;" Result: "&amp;J17&amp;IF(J17="High"," because at least one domain is Critical.",IF(J17="Medium"," because clarification is required and no domain is Critical."," because all four domains are Acceptable."))</x:f>
        <x:v>Technical: Model assumes the selected configuration fulfils the stated requirements; no unresolved technical issue. Schedule: readiness 14 weeks, deadline 19 weeks, buffer 5 weeks (Acceptable).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17" s="20" t="str">
        <x:f>IF(F17="Critical","Revise profile or connection. ",IF(F17="Clarification","Confirm connection and profile compatibility. ",""))&amp;IF(G17="Critical","Revise deadline or procurement/production plan. ",IF(G17="Clarification","Confirm capacity and protect the schedule buffer. ",""))&amp;IF(H17="Critical","Revise price or costs. ",IF(H17="Clarification","Confirm cost allowances and margin. ",""))&amp;IF(I17="Critical","Obtain drawings and performance requirements. ",IF(I17="Clarification","Confirm installation scope. ",""))&amp;IF(J17="Low","Proceed to routine tender checks.","")</x:f>
        <x:v>Confirm installation scope. </x:v>
      </x:c>
      <x:c r="M17" s="20" t="str">
        <x:f t="shared" si="1">IF(J17=B17,"Matches legacy label","Different from legacy label")</x:f>
        <x:v>Different from legacy label</x:v>
      </x:c>
      <x:c r="N17" s="19" t="n">
        <x:v>10</x:v>
      </x:c>
      <x:c r="O17" s="19" t="n">
        <x:v>160</x:v>
      </x:c>
      <x:c r="P17" s="19" t="n">
        <x:v>19</x:v>
      </x:c>
      <x:c r="Q17" s="23" t="n">
        <x:v>36900</x:v>
      </x:c>
      <x:c r="R17" s="19" t="n">
        <x:v>0</x:v>
      </x:c>
      <x:c r="S17" s="21" t="str">
        <x:f>IF(R17=2,"Model assumes the specified connection cannot fit the selected profile geometry; redesign or profile substitution is required.",IF(R17=1,"Model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17" s="19" t="n">
        <x:v>1</x:v>
      </x:c>
      <x:c r="U17" s="21" t="str">
        <x:f>IF(T17&gt;=2,"Model assumes both final drawings and performance requirements are absent, preventing confirmation of scope and price.",IF(T17=1,"Model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17" s="12" t="n">
        <x:f>N17+ROUNDUP('Original data'!F17/O17,0)</x:f>
        <x:v>14</x:v>
      </x:c>
      <x:c r="W17" s="12" t="n">
        <x:f>P17-V17</x:f>
        <x:v>5</x:v>
      </x:c>
      <x:c r="X17" s="22" t="n">
        <x:f>ROUND(('Original data'!E17-Q17)/'Original data'!E17,10)</x:f>
        <x:v>0.18</x:v>
      </x:c>
      <x:c r="Y17" s="12" t="str">
        <x:v>Synthetic domain-informed scenario; seed 20261002</x:v>
      </x:c>
      <x:c r="Z17" s="12" t="str">
        <x:v>Scenario 016</x:v>
      </x:c>
    </x:row>
    <x:row r="18" ht="140" customHeight="1">
      <x:c r="A18" s="13" t="s">
        <x:v>19</x:v>
      </x:c>
      <x:c r="B18" s="13" t="s">
        <x:v>3</x:v>
      </x:c>
      <x:c r="C18" s="13" t="s">
        <x:v>3</x:v>
      </x:c>
      <x:c r="D18" s="13" t="str">
        <x:v>Synthetic scenario 017. Elements: Windows + Doors (High Insulation). Systems: AWS 75.SI+ / ASE 80.HI. Complexity: High; profile: Non-standard; wind: Low; region: Coastal. Value GBP 1,998,000; fabrication 7602 h. Physical dimensions and structural capacity are not calculated.</x:v>
      </x:c>
      <x:c r="E18" s="13" t="str">
        <x:v>All added conditions are synthetic assumptions. Statuses follow the Protocol; no historical outcomes or independent expert validation.</x:v>
      </x:c>
      <x:c r="F18" s="20" t="str">
        <x:f>IF(R18=2,"Critical",IF(R18=1,"Clarification","Acceptable"))</x:f>
        <x:v>Acceptable</x:v>
      </x:c>
      <x:c r="G18" s="20" t="str">
        <x:f>IF(W18&lt;0,"Critical",IF(W18&lt;'Protocol'!$B$25,"Clarification","Acceptable"))</x:f>
        <x:v>Acceptable</x:v>
      </x:c>
      <x:c r="H18" s="20" t="str">
        <x:f>IF(X18&lt;'Protocol'!$B$23,"Critical",IF(X18&lt;'Protocol'!$B$24,"Clarification","Acceptable"))</x:f>
        <x:v>Clarification</x:v>
      </x:c>
      <x:c r="I18" s="20" t="str">
        <x:f>IF(T18&gt;=2,"Critical",IF(T18=1,"Clarification","Acceptable"))</x:f>
        <x:v>Acceptable</x:v>
      </x:c>
      <x:c r="J18" s="20" t="str">
        <x:f t="shared" si="0">IF(COUNTIF(F18:I18,"Critical")&gt;0,"High",IF(COUNTIF(F18:I18,"Clarification")&gt;0,"Medium","Low"))</x:f>
        <x:v>Medium</x:v>
      </x:c>
      <x:c r="K18" s="20" t="str">
        <x:f>"Technical: "&amp;S18&amp;" Schedule: readiness "&amp;V18&amp;" weeks, deadline "&amp;P18&amp;" weeks, buffer "&amp;W18&amp;" weeks ("&amp;G18&amp;"). Commercial: gross margin "&amp;TEXT(X18,"0.0%")&amp;" ("&amp;H18&amp;"). Documentation: "&amp;U18&amp;" Result: "&amp;J18&amp;IF(J18="High"," because at least one domain is Critical.",IF(J18="Medium"," because clarification is required and no domain is Critical."," because all four domains are Acceptable."))</x:f>
        <x:v>Technical: Model assumes the selected configuration fulfils the stated requirements; no unresolved technical issue. Schedule: readiness 44 weeks, deadline 47 weeks, buffer 3 weeks (Acceptable). Commercial: gross margin 14.0% (Clarification). Documentation: Model assumes drawings, installation scope and performance requirements are supplied. Result: Medium because clarification is required and no domain is Critical.</x:v>
      </x:c>
      <x:c r="L18" s="20" t="str">
        <x:f>IF(F18="Critical","Revise profile or connection. ",IF(F18="Clarification","Confirm connection and profile compatibility. ",""))&amp;IF(G18="Critical","Revise deadline or procurement/production plan. ",IF(G18="Clarification","Confirm capacity and protect the schedule buffer. ",""))&amp;IF(H18="Critical","Revise price or costs. ",IF(H18="Clarification","Confirm cost allowances and margin. ",""))&amp;IF(I18="Critical","Obtain drawings and performance requirements. ",IF(I18="Clarification","Confirm installation scope. ",""))&amp;IF(J18="Low","Proceed to routine tender checks.","")</x:f>
        <x:v>Confirm cost allowances and margin. </x:v>
      </x:c>
      <x:c r="M18" s="20" t="str">
        <x:f t="shared" si="1">IF(J18=B18,"Matches legacy label","Different from legacy label")</x:f>
        <x:v>Different from legacy label</x:v>
      </x:c>
      <x:c r="N18" s="19" t="n">
        <x:v>12</x:v>
      </x:c>
      <x:c r="O18" s="19" t="n">
        <x:v>240</x:v>
      </x:c>
      <x:c r="P18" s="19" t="n">
        <x:v>47</x:v>
      </x:c>
      <x:c r="Q18" s="23" t="n">
        <x:v>1718280</x:v>
      </x:c>
      <x:c r="R18" s="19" t="n">
        <x:v>0</x:v>
      </x:c>
      <x:c r="S18" s="21" t="str">
        <x:f>IF(R18=2,"Model assumes the specified connection cannot fit the selected profile geometry; redesign or profile substitution is required.",IF(R18=1,"Model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18" s="19" t="n">
        <x:v>0</x:v>
      </x:c>
      <x:c r="U18" s="21" t="str">
        <x:f>IF(T18&gt;=2,"Model assumes both final drawings and performance requirements are absent, preventing confirmation of scope and price.",IF(T18=1,"Model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8" s="12" t="n">
        <x:f>N18+ROUNDUP('Original data'!F18/O18,0)</x:f>
        <x:v>44</x:v>
      </x:c>
      <x:c r="W18" s="12" t="n">
        <x:f>P18-V18</x:f>
        <x:v>3</x:v>
      </x:c>
      <x:c r="X18" s="22" t="n">
        <x:f>ROUND(('Original data'!E18-Q18)/'Original data'!E18,10)</x:f>
        <x:v>0.14</x:v>
      </x:c>
      <x:c r="Y18" s="12" t="str">
        <x:v>Synthetic domain-informed scenario; seed 20261002</x:v>
      </x:c>
      <x:c r="Z18" s="12" t="str">
        <x:v>Scenario 017</x:v>
      </x:c>
    </x:row>
    <x:row r="19" ht="140" customHeight="1">
      <x:c r="A19" s="13" t="s">
        <x:v>20</x:v>
      </x:c>
      <x:c r="B19" s="13" t="s">
        <x:v>3</x:v>
      </x:c>
      <x:c r="C19" s="13" t="s">
        <x:v>3</x:v>
      </x:c>
      <x:c r="D19" s="13" t="str">
        <x:v>Synthetic scenario 018. Elements: Curtain Wall only. Systems: FWS 60. Complexity: High; profile: Non-standard; wind: High; region: Inland. Value GBP 101,000; fabrication 1614 h. Physical dimensions and structural capacity are not calculated.</x:v>
      </x:c>
      <x:c r="E19" s="13" t="str">
        <x:v>All added conditions are synthetic assumptions. Statuses follow the Protocol; no historical outcomes or independent expert validation.</x:v>
      </x:c>
      <x:c r="F19" s="20" t="str">
        <x:f>IF(R19=2,"Critical",IF(R19=1,"Clarification","Acceptable"))</x:f>
        <x:v>Acceptable</x:v>
      </x:c>
      <x:c r="G19" s="20" t="str">
        <x:f>IF(W19&lt;0,"Critical",IF(W19&lt;'Protocol'!$B$25,"Clarification","Acceptable"))</x:f>
        <x:v>Acceptable</x:v>
      </x:c>
      <x:c r="H19" s="20" t="str">
        <x:f>IF(X19&lt;'Protocol'!$B$23,"Critical",IF(X19&lt;'Protocol'!$B$24,"Clarification","Acceptable"))</x:f>
        <x:v>Acceptable</x:v>
      </x:c>
      <x:c r="I19" s="20" t="str">
        <x:f>IF(T19&gt;=2,"Critical",IF(T19=1,"Clarification","Acceptable"))</x:f>
        <x:v>Acceptable</x:v>
      </x:c>
      <x:c r="J19" s="20" t="str">
        <x:f t="shared" si="0">IF(COUNTIF(F19:I19,"Critical")&gt;0,"High",IF(COUNTIF(F19:I19,"Clarification")&gt;0,"Medium","Low"))</x:f>
        <x:v>Low</x:v>
      </x:c>
      <x:c r="K19" s="20" t="str">
        <x:f>"Technical: "&amp;S19&amp;" Schedule: readiness "&amp;V19&amp;" weeks, deadline "&amp;P19&amp;" weeks, buffer "&amp;W19&amp;" weeks ("&amp;G19&amp;"). Commercial: gross margin "&amp;TEXT(X19,"0.0%")&amp;" ("&amp;H19&amp;"). Documentation: "&amp;U19&amp;" Result: "&amp;J19&amp;IF(J19="High"," because at least one domain is Critical.",IF(J19="Medium"," because clarification is required and no domain is Critical."," because all four domains are Acceptable."))</x:f>
        <x:v>Technical: Model assumes the selected configuration fulfils the stated requirements; no unresolved technical issue. Schedule: readiness 18 weeks, deadline 23 weeks, buffer 5 weeks (Acceptable). Commercial: gross margin 26.0% (Acceptable). Documentation: Model assumes drawings, installation scope and performance requirements are supplied. Result: Low because all four domains are Acceptable.</x:v>
      </x:c>
      <x:c r="L19" s="20" t="str">
        <x:f>IF(F19="Critical","Revise profile or connection. ",IF(F19="Clarification","Confirm connection and profile compatibility. ",""))&amp;IF(G19="Critical","Revise deadline or procurement/production plan. ",IF(G19="Clarification","Confirm capacity and protect the schedule buffer. ",""))&amp;IF(H19="Critical","Revise price or costs. ",IF(H19="Clarification","Confirm cost allowances and margin. ",""))&amp;IF(I19="Critical","Obtain drawings and performance requirements. ",IF(I19="Clarification","Confirm installation scope. ",""))&amp;IF(J19="Low","Proceed to routine tender checks.","")</x:f>
        <x:v>Proceed to routine tender checks.</x:v>
      </x:c>
      <x:c r="M19" s="20" t="str">
        <x:f t="shared" si="1">IF(J19=B19,"Matches legacy label","Different from legacy label")</x:f>
        <x:v>Different from legacy label</x:v>
      </x:c>
      <x:c r="N19" s="19" t="n">
        <x:v>12</x:v>
      </x:c>
      <x:c r="O19" s="19" t="n">
        <x:v>320</x:v>
      </x:c>
      <x:c r="P19" s="19" t="n">
        <x:v>23</x:v>
      </x:c>
      <x:c r="Q19" s="23" t="n">
        <x:v>74740</x:v>
      </x:c>
      <x:c r="R19" s="19" t="n">
        <x:v>0</x:v>
      </x:c>
      <x:c r="S19" s="21" t="str">
        <x:f>IF(R19=2,"Model assumes the specified connection cannot fit the selected profile geometry; redesign or profile substitution is required.",IF(R19=1,"Model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19" s="19" t="n">
        <x:v>0</x:v>
      </x:c>
      <x:c r="U19" s="21" t="str">
        <x:f>IF(T19&gt;=2,"Model assumes both final drawings and performance requirements are absent, preventing confirmation of scope and price.",IF(T19=1,"Model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9" s="12" t="n">
        <x:f>N19+ROUNDUP('Original data'!F19/O19,0)</x:f>
        <x:v>18</x:v>
      </x:c>
      <x:c r="W19" s="12" t="n">
        <x:f>P19-V19</x:f>
        <x:v>5</x:v>
      </x:c>
      <x:c r="X19" s="22" t="n">
        <x:f>ROUND(('Original data'!E19-Q19)/'Original data'!E19,10)</x:f>
        <x:v>0.26</x:v>
      </x:c>
      <x:c r="Y19" s="12" t="str">
        <x:v>Synthetic domain-informed scenario; seed 20261002</x:v>
      </x:c>
      <x:c r="Z19" s="12" t="str">
        <x:v>Scenario 018</x:v>
      </x:c>
    </x:row>
    <x:row r="20" ht="140" customHeight="1">
      <x:c r="A20" s="13" t="s">
        <x:v>21</x:v>
      </x:c>
      <x:c r="B20" s="13" t="s">
        <x:v>1</x:v>
      </x:c>
      <x:c r="C20" s="13" t="s">
        <x:v>7</x:v>
      </x:c>
      <x:c r="D20" s="13" t="str">
        <x:v>Synthetic scenario 019. Elements: Curtain Wall only. Systems: FWS 50. Complexity: Low; profile: Standard; wind: Low; region: Urban. Value GBP 548,000; fabrication 1218 h. Physical dimensions and structural capacity are not calculated.</x:v>
      </x:c>
      <x:c r="E20" s="13" t="str">
        <x:v>All added conditions are synthetic assumptions. Statuses follow the Protocol; no historical outcomes or independent expert validation.</x:v>
      </x:c>
      <x:c r="F20" s="20" t="str">
        <x:f>IF(R20=2,"Critical",IF(R20=1,"Clarification","Acceptable"))</x:f>
        <x:v>Acceptable</x:v>
      </x:c>
      <x:c r="G20" s="20" t="str">
        <x:f>IF(W20&lt;0,"Critical",IF(W20&lt;'Protocol'!$B$25,"Clarification","Acceptable"))</x:f>
        <x:v>Acceptable</x:v>
      </x:c>
      <x:c r="H20" s="20" t="str">
        <x:f>IF(X20&lt;'Protocol'!$B$23,"Critical",IF(X20&lt;'Protocol'!$B$24,"Clarification","Acceptable"))</x:f>
        <x:v>Acceptable</x:v>
      </x:c>
      <x:c r="I20" s="20" t="str">
        <x:f>IF(T20&gt;=2,"Critical",IF(T20=1,"Clarification","Acceptable"))</x:f>
        <x:v>Clarification</x:v>
      </x:c>
      <x:c r="J20" s="20" t="str">
        <x:f t="shared" si="0">IF(COUNTIF(F20:I20,"Critical")&gt;0,"High",IF(COUNTIF(F20:I20,"Clarification")&gt;0,"Medium","Low"))</x:f>
        <x:v>Medium</x:v>
      </x:c>
      <x:c r="K20" s="20" t="str">
        <x:f>"Technical: "&amp;S20&amp;" Schedule: readiness "&amp;V20&amp;" weeks, deadline "&amp;P20&amp;" weeks, buffer "&amp;W20&amp;" weeks ("&amp;G20&amp;"). Commercial: gross margin "&amp;TEXT(X20,"0.0%")&amp;" ("&amp;H20&amp;"). Documentation: "&amp;U20&amp;" Result: "&amp;J20&amp;IF(J20="High"," because at least one domain is Critical.",IF(J20="Medium"," because clarification is required and no domain is Critical."," because all four domains are Acceptable."))</x:f>
        <x:v>Technical: Model assumes the selected configuration fulfils the stated requirements; no unresolved technical issue. Schedule: readiness 16 weeks, deadline 21 weeks, buffer 5 weeks (Acceptable).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20" s="20" t="str">
        <x:f>IF(F20="Critical","Revise profile or connection. ",IF(F20="Clarification","Confirm connection and profile compatibility. ",""))&amp;IF(G20="Critical","Revise deadline or procurement/production plan. ",IF(G20="Clarification","Confirm capacity and protect the schedule buffer. ",""))&amp;IF(H20="Critical","Revise price or costs. ",IF(H20="Clarification","Confirm cost allowances and margin. ",""))&amp;IF(I20="Critical","Obtain drawings and performance requirements. ",IF(I20="Clarification","Confirm installation scope. ",""))&amp;IF(J20="Low","Proceed to routine tender checks.","")</x:f>
        <x:v>Confirm installation scope. </x:v>
      </x:c>
      <x:c r="M20" s="20" t="str">
        <x:f t="shared" si="1">IF(J20=B20,"Matches legacy label","Different from legacy label")</x:f>
        <x:v>Matches legacy label</x:v>
      </x:c>
      <x:c r="N20" s="19" t="n">
        <x:v>10</x:v>
      </x:c>
      <x:c r="O20" s="19" t="n">
        <x:v>240</x:v>
      </x:c>
      <x:c r="P20" s="19" t="n">
        <x:v>21</x:v>
      </x:c>
      <x:c r="Q20" s="23" t="n">
        <x:v>449360</x:v>
      </x:c>
      <x:c r="R20" s="19" t="n">
        <x:v>0</x:v>
      </x:c>
      <x:c r="S20" s="21" t="str">
        <x:f>IF(R20=2,"Model assumes the specified connection cannot fit the selected profile geometry; redesign or profile substitution is required.",IF(R20=1,"Model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20" s="19" t="n">
        <x:v>1</x:v>
      </x:c>
      <x:c r="U20" s="21" t="str">
        <x:f>IF(T20&gt;=2,"Model assumes both final drawings and performance requirements are absent, preventing confirmation of scope and price.",IF(T20=1,"Model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20" s="12" t="n">
        <x:f>N20+ROUNDUP('Original data'!F20/O20,0)</x:f>
        <x:v>16</x:v>
      </x:c>
      <x:c r="W20" s="12" t="n">
        <x:f>P20-V20</x:f>
        <x:v>5</x:v>
      </x:c>
      <x:c r="X20" s="22" t="n">
        <x:f>ROUND(('Original data'!E20-Q20)/'Original data'!E20,10)</x:f>
        <x:v>0.18</x:v>
      </x:c>
      <x:c r="Y20" s="12" t="str">
        <x:v>Synthetic domain-informed scenario; seed 20261002</x:v>
      </x:c>
      <x:c r="Z20" s="12" t="str">
        <x:v>Scenario 019</x:v>
      </x:c>
    </x:row>
    <x:row r="21" ht="140" customHeight="1">
      <x:c r="A21" s="13" t="s">
        <x:v>22</x:v>
      </x:c>
      <x:c r="B21" s="13" t="s">
        <x:v>3</x:v>
      </x:c>
      <x:c r="C21" s="13" t="s">
        <x:v>3</x:v>
      </x:c>
      <x:c r="D21" s="13" t="str">
        <x:v>Synthetic scenario 020. Elements: Windows + Doors (High Insulation). Systems: AWS 75.SI+ / ASE 80.HI. Complexity: High; profile: Non-standard; wind: High; region: Coastal. Value GBP 343,000; fabrication 2731 h. Physical dimensions and structural capacity are not calculated.</x:v>
      </x:c>
      <x:c r="E21" s="13" t="str">
        <x:v>All added conditions are synthetic assumptions. Statuses follow the Protocol; no historical outcomes or independent expert validation.</x:v>
      </x:c>
      <x:c r="F21" s="20" t="str">
        <x:f>IF(R21=2,"Critical",IF(R21=1,"Clarification","Acceptable"))</x:f>
        <x:v>Acceptable</x:v>
      </x:c>
      <x:c r="G21" s="20" t="str">
        <x:f>IF(W21&lt;0,"Critical",IF(W21&lt;'Protocol'!$B$25,"Clarification","Acceptable"))</x:f>
        <x:v>Acceptable</x:v>
      </x:c>
      <x:c r="H21" s="20" t="str">
        <x:f>IF(X21&lt;'Protocol'!$B$23,"Critical",IF(X21&lt;'Protocol'!$B$24,"Clarification","Acceptable"))</x:f>
        <x:v>Acceptable</x:v>
      </x:c>
      <x:c r="I21" s="20" t="str">
        <x:f>IF(T21&gt;=2,"Critical",IF(T21=1,"Clarification","Acceptable"))</x:f>
        <x:v>Acceptable</x:v>
      </x:c>
      <x:c r="J21" s="20" t="str">
        <x:f t="shared" si="0">IF(COUNTIF(F21:I21,"Critical")&gt;0,"High",IF(COUNTIF(F21:I21,"Clarification")&gt;0,"Medium","Low"))</x:f>
        <x:v>Low</x:v>
      </x:c>
      <x:c r="K21" s="20" t="str">
        <x:f>"Technical: "&amp;S21&amp;" Schedule: readiness "&amp;V21&amp;" weeks, deadline "&amp;P21&amp;" weeks, buffer "&amp;W21&amp;" weeks ("&amp;G21&amp;"). Commercial: gross margin "&amp;TEXT(X21,"0.0%")&amp;" ("&amp;H21&amp;"). Documentation: "&amp;U21&amp;" Result: "&amp;J21&amp;IF(J21="High"," because at least one domain is Critical.",IF(J21="Medium"," because clarification is required and no domain is Critical."," because all four domains are Acceptable."))</x:f>
        <x:v>Technical: Model assumes the selected configuration fulfils the stated requirements; no unresolved technical issue. Schedule: readiness 21 weeks, deadline 28 weeks, buffer 7 weeks (Acceptable). Commercial: gross margin 18.0% (Acceptable). Documentation: Model assumes drawings, installation scope and performance requirements are supplied. Result: Low because all four domains are Acceptable.</x:v>
      </x:c>
      <x:c r="L21" s="20" t="str">
        <x:f>IF(F21="Critical","Revise profile or connection. ",IF(F21="Clarification","Confirm connection and profile compatibility. ",""))&amp;IF(G21="Critical","Revise deadline or procurement/production plan. ",IF(G21="Clarification","Confirm capacity and protect the schedule buffer. ",""))&amp;IF(H21="Critical","Revise price or costs. ",IF(H21="Clarification","Confirm cost allowances and margin. ",""))&amp;IF(I21="Critical","Obtain drawings and performance requirements. ",IF(I21="Clarification","Confirm installation scope. ",""))&amp;IF(J21="Low","Proceed to routine tender checks.","")</x:f>
        <x:v>Proceed to routine tender checks.</x:v>
      </x:c>
      <x:c r="M21" s="20" t="str">
        <x:f t="shared" si="1">IF(J21=B21,"Matches legacy label","Different from legacy label")</x:f>
        <x:v>Different from legacy label</x:v>
      </x:c>
      <x:c r="N21" s="19" t="n">
        <x:v>12</x:v>
      </x:c>
      <x:c r="O21" s="19" t="n">
        <x:v>320</x:v>
      </x:c>
      <x:c r="P21" s="19" t="n">
        <x:v>28</x:v>
      </x:c>
      <x:c r="Q21" s="23" t="n">
        <x:v>281260</x:v>
      </x:c>
      <x:c r="R21" s="19" t="n">
        <x:v>0</x:v>
      </x:c>
      <x:c r="S21" s="21" t="str">
        <x:f>IF(R21=2,"Model assumes the specified connection cannot fit the selected profile geometry; redesign or profile substitution is required.",IF(R21=1,"Model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21" s="19" t="n">
        <x:v>0</x:v>
      </x:c>
      <x:c r="U21" s="21" t="str">
        <x:f>IF(T21&gt;=2,"Model assumes both final drawings and performance requirements are absent, preventing confirmation of scope and price.",IF(T21=1,"Model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21" s="12" t="n">
        <x:f>N21+ROUNDUP('Original data'!F21/O21,0)</x:f>
        <x:v>21</x:v>
      </x:c>
      <x:c r="W21" s="12" t="n">
        <x:f>P21-V21</x:f>
        <x:v>7</x:v>
      </x:c>
      <x:c r="X21" s="22" t="n">
        <x:f>ROUND(('Original data'!E21-Q21)/'Original data'!E21,10)</x:f>
        <x:v>0.18</x:v>
      </x:c>
      <x:c r="Y21" s="12" t="str">
        <x:v>Synthetic domain-informed scenario; seed 20261002</x:v>
      </x:c>
      <x:c r="Z21" s="12" t="str">
        <x:v>Scenario 020</x:v>
      </x:c>
    </x:row>
    <x:row r="22" ht="140" customHeight="1">
      <x:c r="A22" s="13" t="s">
        <x:v>23</x:v>
      </x:c>
      <x:c r="B22" s="13" t="s">
        <x:v>1</x:v>
      </x:c>
      <x:c r="C22" s="13" t="s">
        <x:v>7</x:v>
      </x:c>
      <x:c r="D22" s="13" t="str">
        <x:v>Synthetic scenario 021. Elements: Windows + Doors + Curtain Wall. Systems: AWS 75.SI+ / FWS 50 / AD UP 75. Complexity: Medium; profile: Standard; wind: High; region: Mountain. Value GBP 98,000; fabrication 750 h. Physical dimensions and structural capacity are not calculated.</x:v>
      </x:c>
      <x:c r="E22" s="13" t="str">
        <x:v>All added conditions are synthetic assumptions. Statuses follow the Protocol; no historical outcomes or independent expert validation.</x:v>
      </x:c>
      <x:c r="F22" s="20" t="str">
        <x:f>IF(R22=2,"Critical",IF(R22=1,"Clarification","Acceptable"))</x:f>
        <x:v>Acceptable</x:v>
      </x:c>
      <x:c r="G22" s="20" t="str">
        <x:f>IF(W22&lt;0,"Critical",IF(W22&lt;'Protocol'!$B$25,"Clarification","Acceptable"))</x:f>
        <x:v>Acceptable</x:v>
      </x:c>
      <x:c r="H22" s="20" t="str">
        <x:f>IF(X22&lt;'Protocol'!$B$23,"Critical",IF(X22&lt;'Protocol'!$B$24,"Clarification","Acceptable"))</x:f>
        <x:v>Critical</x:v>
      </x:c>
      <x:c r="I22" s="20" t="str">
        <x:f>IF(T22&gt;=2,"Critical",IF(T22=1,"Clarification","Acceptable"))</x:f>
        <x:v>Acceptable</x:v>
      </x:c>
      <x:c r="J22" s="20" t="str">
        <x:f t="shared" si="0">IF(COUNTIF(F22:I22,"Critical")&gt;0,"High",IF(COUNTIF(F22:I22,"Clarification")&gt;0,"Medium","Low"))</x:f>
        <x:v>High</x:v>
      </x:c>
      <x:c r="K22" s="20" t="str">
        <x:f>"Technical: "&amp;S22&amp;" Schedule: readiness "&amp;V22&amp;" weeks, deadline "&amp;P22&amp;" weeks, buffer "&amp;W22&amp;" weeks ("&amp;G22&amp;"). Commercial: gross margin "&amp;TEXT(X22,"0.0%")&amp;" ("&amp;H22&amp;"). Documentation: "&amp;U22&amp;" Result: "&amp;J22&amp;IF(J22="High"," because at least one domain is Critical.",IF(J22="Medium"," because clarification is required and no domain is Critical."," because all four domains are Acceptable."))</x:f>
        <x:v>Technical: Model assumes the selected configuration fulfils the stated requirements; no unresolved technical issue. Schedule: readiness 14 weeks, deadline 21 weeks, buffer 7 weeks (Acceptable). Commercial: gross margin 7.0% (Critical). Documentation: Model assumes drawings, installation scope and performance requirements are supplied. Result: High because at least one domain is Critical.</x:v>
      </x:c>
      <x:c r="L22" s="20" t="str">
        <x:f>IF(F22="Critical","Revise profile or connection. ",IF(F22="Clarification","Confirm connection and profile compatibility. ",""))&amp;IF(G22="Critical","Revise deadline or procurement/production plan. ",IF(G22="Clarification","Confirm capacity and protect the schedule buffer. ",""))&amp;IF(H22="Critical","Revise price or costs. ",IF(H22="Clarification","Confirm cost allowances and margin. ",""))&amp;IF(I22="Critical","Obtain drawings and performance requirements. ",IF(I22="Clarification","Confirm installation scope. ",""))&amp;IF(J22="Low","Proceed to routine tender checks.","")</x:f>
        <x:v>Revise price or costs. </x:v>
      </x:c>
      <x:c r="M22" s="20" t="str">
        <x:f t="shared" si="1">IF(J22=B22,"Matches legacy label","Different from legacy label")</x:f>
        <x:v>Different from legacy label</x:v>
      </x:c>
      <x:c r="N22" s="19" t="n">
        <x:v>10</x:v>
      </x:c>
      <x:c r="O22" s="19" t="n">
        <x:v>240</x:v>
      </x:c>
      <x:c r="P22" s="19" t="n">
        <x:v>21</x:v>
      </x:c>
      <x:c r="Q22" s="23" t="n">
        <x:v>91140</x:v>
      </x:c>
      <x:c r="R22" s="19" t="n">
        <x:v>0</x:v>
      </x:c>
      <x:c r="S22" s="21" t="str">
        <x:f>IF(R22=2,"Model assumes the specified connection cannot fit the selected profile geometry; redesign or profile substitution is required.",IF(R22=1,"Model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22" s="19" t="n">
        <x:v>0</x:v>
      </x:c>
      <x:c r="U22" s="21" t="str">
        <x:f>IF(T22&gt;=2,"Model assumes both final drawings and performance requirements are absent, preventing confirmation of scope and price.",IF(T22=1,"Model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22" s="12" t="n">
        <x:f>N22+ROUNDUP('Original data'!F22/O22,0)</x:f>
        <x:v>14</x:v>
      </x:c>
      <x:c r="W22" s="12" t="n">
        <x:f>P22-V22</x:f>
        <x:v>7</x:v>
      </x:c>
      <x:c r="X22" s="22" t="n">
        <x:f>ROUND(('Original data'!E22-Q22)/'Original data'!E22,10)</x:f>
        <x:v>0.07</x:v>
      </x:c>
      <x:c r="Y22" s="12" t="str">
        <x:v>Synthetic domain-informed scenario; seed 20261002</x:v>
      </x:c>
      <x:c r="Z22" s="12" t="str">
        <x:v>Scenario 021</x:v>
      </x:c>
    </x:row>
    <x:row r="23" ht="140" customHeight="1">
      <x:c r="A23" s="13" t="s">
        <x:v>24</x:v>
      </x:c>
      <x:c r="B23" s="13" t="s">
        <x:v>3</x:v>
      </x:c>
      <x:c r="C23" s="13" t="s">
        <x:v>3</x:v>
      </x:c>
      <x:c r="D23" s="13" t="str">
        <x:v>Synthetic scenario 022. Elements: Windows + Doors (High Insulation). Systems: AWS 75.SI+ / ASE 80.HI. Complexity: High; profile: Non-standard; wind: Low; region: Mountain. Value GBP 225,000; fabrication 5054 h. Physical dimensions and structural capacity are not calculated.</x:v>
      </x:c>
      <x:c r="E23" s="13" t="str">
        <x:v>All added conditions are synthetic assumptions. Statuses follow the Protocol; no historical outcomes or independent expert validation.</x:v>
      </x:c>
      <x:c r="F23" s="20" t="str">
        <x:f>IF(R23=2,"Critical",IF(R23=1,"Clarification","Acceptable"))</x:f>
        <x:v>Acceptable</x:v>
      </x:c>
      <x:c r="G23" s="20" t="str">
        <x:f>IF(W23&lt;0,"Critical",IF(W23&lt;'Protocol'!$B$25,"Clarification","Acceptable"))</x:f>
        <x:v>Acceptable</x:v>
      </x:c>
      <x:c r="H23" s="20" t="str">
        <x:f>IF(X23&lt;'Protocol'!$B$23,"Critical",IF(X23&lt;'Protocol'!$B$24,"Clarification","Acceptable"))</x:f>
        <x:v>Clarification</x:v>
      </x:c>
      <x:c r="I23" s="20" t="str">
        <x:f>IF(T23&gt;=2,"Critical",IF(T23=1,"Clarification","Acceptable"))</x:f>
        <x:v>Acceptable</x:v>
      </x:c>
      <x:c r="J23" s="20" t="str">
        <x:f t="shared" si="0">IF(COUNTIF(F23:I23,"Critical")&gt;0,"High",IF(COUNTIF(F23:I23,"Clarification")&gt;0,"Medium","Low"))</x:f>
        <x:v>Medium</x:v>
      </x:c>
      <x:c r="K23" s="20" t="str">
        <x:f>"Technical: "&amp;S23&amp;" Schedule: readiness "&amp;V23&amp;" weeks, deadline "&amp;P23&amp;" weeks, buffer "&amp;W23&amp;" weeks ("&amp;G23&amp;"). Commercial: gross margin "&amp;TEXT(X23,"0.0%")&amp;" ("&amp;H23&amp;"). Documentation: "&amp;U23&amp;" Result: "&amp;J23&amp;IF(J23="High"," because at least one domain is Critical.",IF(J23="Medium"," because clarification is required and no domain is Critical."," because all four domains are Acceptable."))</x:f>
        <x:v>Technical: Model assumes the selected configuration fulfils the stated requirements; no unresolved technical issue. Schedule: readiness 44 weeks, deadline 49 weeks, buffer 5 weeks (Acceptable). Commercial: gross margin 12.0% (Clarification). Documentation: Model assumes drawings, installation scope and performance requirements are supplied. Result: Medium because clarification is required and no domain is Critical.</x:v>
      </x:c>
      <x:c r="L23" s="20" t="str">
        <x:f>IF(F23="Critical","Revise profile or connection. ",IF(F23="Clarification","Confirm connection and profile compatibility. ",""))&amp;IF(G23="Critical","Revise deadline or procurement/production plan. ",IF(G23="Clarification","Confirm capacity and protect the schedule buffer. ",""))&amp;IF(H23="Critical","Revise price or costs. ",IF(H23="Clarification","Confirm cost allowances and margin. ",""))&amp;IF(I23="Critical","Obtain drawings and performance requirements. ",IF(I23="Clarification","Confirm installation scope. ",""))&amp;IF(J23="Low","Proceed to routine tender checks.","")</x:f>
        <x:v>Confirm cost allowances and margin. </x:v>
      </x:c>
      <x:c r="M23" s="20" t="str">
        <x:f t="shared" si="1">IF(J23=B23,"Matches legacy label","Different from legacy label")</x:f>
        <x:v>Different from legacy label</x:v>
      </x:c>
      <x:c r="N23" s="19" t="n">
        <x:v>12</x:v>
      </x:c>
      <x:c r="O23" s="19" t="n">
        <x:v>160</x:v>
      </x:c>
      <x:c r="P23" s="19" t="n">
        <x:v>49</x:v>
      </x:c>
      <x:c r="Q23" s="23" t="n">
        <x:v>198000</x:v>
      </x:c>
      <x:c r="R23" s="19" t="n">
        <x:v>0</x:v>
      </x:c>
      <x:c r="S23" s="21" t="str">
        <x:f>IF(R23=2,"Model assumes the specified connection cannot fit the selected profile geometry; redesign or profile substitution is required.",IF(R23=1,"Model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23" s="19" t="n">
        <x:v>0</x:v>
      </x:c>
      <x:c r="U23" s="21" t="str">
        <x:f>IF(T23&gt;=2,"Model assumes both final drawings and performance requirements are absent, preventing confirmation of scope and price.",IF(T23=1,"Model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23" s="12" t="n">
        <x:f>N23+ROUNDUP('Original data'!F23/O23,0)</x:f>
        <x:v>44</x:v>
      </x:c>
      <x:c r="W23" s="12" t="n">
        <x:f>P23-V23</x:f>
        <x:v>5</x:v>
      </x:c>
      <x:c r="X23" s="22" t="n">
        <x:f>ROUND(('Original data'!E23-Q23)/'Original data'!E23,10)</x:f>
        <x:v>0.12</x:v>
      </x:c>
      <x:c r="Y23" s="12" t="str">
        <x:v>Synthetic domain-informed scenario; seed 20261002</x:v>
      </x:c>
      <x:c r="Z23" s="12" t="str">
        <x:v>Scenario 022</x:v>
      </x:c>
    </x:row>
    <x:row r="24" ht="140" customHeight="1">
      <x:c r="A24" s="13" t="s">
        <x:v>25</x:v>
      </x:c>
      <x:c r="B24" s="13" t="s">
        <x:v>7</x:v>
      </x:c>
      <x:c r="C24" s="13" t="s">
        <x:v>7</x:v>
      </x:c>
      <x:c r="D24" s="13" t="str">
        <x:v>Synthetic scenario 023. Elements: Curtain Wall only. Systems: FWS 50. Complexity: Low; profile: Non-standard; wind: Low; region: Urban. Value GBP 40,000; fabrication 721 h. Physical dimensions and structural capacity are not calculated.</x:v>
      </x:c>
      <x:c r="E24" s="13" t="str">
        <x:v>All added conditions are synthetic assumptions. Statuses follow the Protocol; no historical outcomes or independent expert validation.</x:v>
      </x:c>
      <x:c r="F24" s="20" t="str">
        <x:f>IF(R24=2,"Critical",IF(R24=1,"Clarification","Acceptable"))</x:f>
        <x:v>Acceptable</x:v>
      </x:c>
      <x:c r="G24" s="20" t="str">
        <x:f>IF(W24&lt;0,"Critical",IF(W24&lt;'Protocol'!$B$25,"Clarification","Acceptable"))</x:f>
        <x:v>Clarification</x:v>
      </x:c>
      <x:c r="H24" s="20" t="str">
        <x:f>IF(X24&lt;'Protocol'!$B$23,"Critical",IF(X24&lt;'Protocol'!$B$24,"Clarification","Acceptable"))</x:f>
        <x:v>Acceptable</x:v>
      </x:c>
      <x:c r="I24" s="20" t="str">
        <x:f>IF(T24&gt;=2,"Critical",IF(T24=1,"Clarification","Acceptable"))</x:f>
        <x:v>Acceptable</x:v>
      </x:c>
      <x:c r="J24" s="20" t="str">
        <x:f t="shared" si="0">IF(COUNTIF(F24:I24,"Critical")&gt;0,"High",IF(COUNTIF(F24:I24,"Clarification")&gt;0,"Medium","Low"))</x:f>
        <x:v>Medium</x:v>
      </x:c>
      <x:c r="K24" s="20" t="str">
        <x:f>"Technical: "&amp;S24&amp;" Schedule: readiness "&amp;V24&amp;" weeks, deadline "&amp;P24&amp;" weeks, buffer "&amp;W24&amp;" weeks ("&amp;G24&amp;"). Commercial: gross margin "&amp;TEXT(X24,"0.0%")&amp;" ("&amp;H24&amp;"). Documentation: "&amp;U24&amp;" Result: "&amp;J24&amp;IF(J24="High"," because at least one domain is Critical.",IF(J24="Medium"," because clarification is required and no domain is Critical."," because all four domains are Acceptable."))</x:f>
        <x:v>Technical: Model assumes the selected configuration fulfils the stated requirements; no unresolved technical issue. Schedule: readiness 15 weeks, deadline 15 weeks, buffer 0 weeks (Clarification). Commercial: gross margin 18.0% (Acceptable). Documentation: Model assumes drawings, installation scope and performance requirements are supplied. Result: Medium because clarification is required and no domain is Critical.</x:v>
      </x:c>
      <x:c r="L24" s="20" t="str">
        <x:f>IF(F24="Critical","Revise profile or connection. ",IF(F24="Clarification","Confirm connection and profile compatibility. ",""))&amp;IF(G24="Critical","Revise deadline or procurement/production plan. ",IF(G24="Clarification","Confirm capacity and protect the schedule buffer. ",""))&amp;IF(H24="Critical","Revise price or costs. ",IF(H24="Clarification","Confirm cost allowances and margin. ",""))&amp;IF(I24="Critical","Obtain drawings and performance requirements. ",IF(I24="Clarification","Confirm installation scope. ",""))&amp;IF(J24="Low","Proceed to routine tender checks.","")</x:f>
        <x:v>Confirm capacity and protect the schedule buffer. </x:v>
      </x:c>
      <x:c r="M24" s="20" t="str">
        <x:f t="shared" si="1">IF(J24=B24,"Matches legacy label","Different from legacy label")</x:f>
        <x:v>Different from legacy label</x:v>
      </x:c>
      <x:c r="N24" s="19" t="n">
        <x:v>12</x:v>
      </x:c>
      <x:c r="O24" s="19" t="n">
        <x:v>320</x:v>
      </x:c>
      <x:c r="P24" s="19" t="n">
        <x:v>15</x:v>
      </x:c>
      <x:c r="Q24" s="23" t="n">
        <x:v>32800</x:v>
      </x:c>
      <x:c r="R24" s="19" t="n">
        <x:v>0</x:v>
      </x:c>
      <x:c r="S24" s="21" t="str">
        <x:f>IF(R24=2,"Model assumes the specified connection cannot fit the selected profile geometry; redesign or profile substitution is required.",IF(R24=1,"Model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24" s="19" t="n">
        <x:v>0</x:v>
      </x:c>
      <x:c r="U24" s="21" t="str">
        <x:f>IF(T24&gt;=2,"Model assumes both final drawings and performance requirements are absent, preventing confirmation of scope and price.",IF(T24=1,"Model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24" s="12" t="n">
        <x:f>N24+ROUNDUP('Original data'!F24/O24,0)</x:f>
        <x:v>15</x:v>
      </x:c>
      <x:c r="W24" s="12" t="n">
        <x:f>P24-V24</x:f>
        <x:v>0</x:v>
      </x:c>
      <x:c r="X24" s="22" t="n">
        <x:f>ROUND(('Original data'!E24-Q24)/'Original data'!E24,10)</x:f>
        <x:v>0.18</x:v>
      </x:c>
      <x:c r="Y24" s="12" t="str">
        <x:v>Synthetic domain-informed scenario; seed 20261002</x:v>
      </x:c>
      <x:c r="Z24" s="12" t="str">
        <x:v>Scenario 023</x:v>
      </x:c>
    </x:row>
    <x:row r="25" ht="140" customHeight="1">
      <x:c r="A25" s="13" t="s">
        <x:v>26</x:v>
      </x:c>
      <x:c r="B25" s="13" t="s">
        <x:v>3</x:v>
      </x:c>
      <x:c r="C25" s="13" t="s">
        <x:v>3</x:v>
      </x:c>
      <x:c r="D25" s="13" t="str">
        <x:v>Synthetic scenario 024. Elements: Windows + Doors + Curtain Wall. Systems: AWS 75.SI+ / FWS 50 / AD UP 75. Complexity: Medium; profile: Non-standard; wind: High; region: Inland. Value GBP 174,000; fabrication 752 h. Physical dimensions and structural capacity are not calculated.</x:v>
      </x:c>
      <x:c r="E25" s="13" t="str">
        <x:v>All added conditions are synthetic assumptions. Statuses follow the Protocol; no historical outcomes or independent expert validation.</x:v>
      </x:c>
      <x:c r="F25" s="20" t="str">
        <x:f>IF(R25=2,"Critical",IF(R25=1,"Clarification","Acceptable"))</x:f>
        <x:v>Clarification</x:v>
      </x:c>
      <x:c r="G25" s="20" t="str">
        <x:f>IF(W25&lt;0,"Critical",IF(W25&lt;'Protocol'!$B$25,"Clarification","Acceptable"))</x:f>
        <x:v>Acceptable</x:v>
      </x:c>
      <x:c r="H25" s="20" t="str">
        <x:f>IF(X25&lt;'Protocol'!$B$23,"Critical",IF(X25&lt;'Protocol'!$B$24,"Clarification","Acceptable"))</x:f>
        <x:v>Critical</x:v>
      </x:c>
      <x:c r="I25" s="20" t="str">
        <x:f>IF(T25&gt;=2,"Critical",IF(T25=1,"Clarification","Acceptable"))</x:f>
        <x:v>Acceptable</x:v>
      </x:c>
      <x:c r="J25" s="20" t="str">
        <x:f t="shared" si="0">IF(COUNTIF(F25:I25,"Critical")&gt;0,"High",IF(COUNTIF(F25:I25,"Clarification")&gt;0,"Medium","Low"))</x:f>
        <x:v>High</x:v>
      </x:c>
      <x:c r="K25" s="20" t="str">
        <x:f>"Technical: "&amp;S25&amp;" Schedule: readiness "&amp;V25&amp;" weeks, deadline "&amp;P25&amp;" weeks, buffer "&amp;W25&amp;" weeks ("&amp;G25&amp;"). Commercial: gross margin "&amp;TEXT(X25,"0.0%")&amp;" ("&amp;H25&amp;"). Documentation: "&amp;U25&amp;" Result: "&amp;J25&amp;IF(J25="High"," because at least one domain is Critical.",IF(J25="Medium","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15 weeks, deadline 22 weeks, buffer 7 weeks (Acceptable). Commercial: gross margin 7.0% (Critical). Documentation: Model assumes drawings, installation scope and performance requirements are supplied. Result: High because at least one domain is Critical.</x:v>
      </x:c>
      <x:c r="L25" s="20" t="str">
        <x:f>IF(F25="Critical","Revise profile or connection. ",IF(F25="Clarification","Confirm connection and profile compatibility. ",""))&amp;IF(G25="Critical","Revise deadline or procurement/production plan. ",IF(G25="Clarification","Confirm capacity and protect the schedule buffer. ",""))&amp;IF(H25="Critical","Revise price or costs. ",IF(H25="Clarification","Confirm cost allowances and margin. ",""))&amp;IF(I25="Critical","Obtain drawings and performance requirements. ",IF(I25="Clarification","Confirm installation scope. ",""))&amp;IF(J25="Low","Proceed to routine tender checks.","")</x:f>
        <x:v>Confirm connection and profile compatibility. Revise price or costs. </x:v>
      </x:c>
      <x:c r="M25" s="20" t="str">
        <x:f t="shared" si="1">IF(J25=B25,"Matches legacy label","Different from legacy label")</x:f>
        <x:v>Matches legacy label</x:v>
      </x:c>
      <x:c r="N25" s="19" t="n">
        <x:v>12</x:v>
      </x:c>
      <x:c r="O25" s="19" t="n">
        <x:v>320</x:v>
      </x:c>
      <x:c r="P25" s="19" t="n">
        <x:v>22</x:v>
      </x:c>
      <x:c r="Q25" s="23" t="n">
        <x:v>161820</x:v>
      </x:c>
      <x:c r="R25" s="19" t="n">
        <x:v>1</x:v>
      </x:c>
      <x:c r="S25" s="21" t="str">
        <x:f>IF(R25=2,"Model assumes the specified connection cannot fit the selected profile geometry; redesign or profile substitution is required.",IF(R25=1,"Model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25" s="19" t="n">
        <x:v>0</x:v>
      </x:c>
      <x:c r="U25" s="21" t="str">
        <x:f>IF(T25&gt;=2,"Model assumes both final drawings and performance requirements are absent, preventing confirmation of scope and price.",IF(T25=1,"Model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25" s="12" t="n">
        <x:f>N25+ROUNDUP('Original data'!F25/O25,0)</x:f>
        <x:v>15</x:v>
      </x:c>
      <x:c r="W25" s="12" t="n">
        <x:f>P25-V25</x:f>
        <x:v>7</x:v>
      </x:c>
      <x:c r="X25" s="22" t="n">
        <x:f>ROUND(('Original data'!E25-Q25)/'Original data'!E25,10)</x:f>
        <x:v>0.07</x:v>
      </x:c>
      <x:c r="Y25" s="12" t="str">
        <x:v>Synthetic domain-informed scenario; seed 20261002</x:v>
      </x:c>
      <x:c r="Z25" s="12" t="str">
        <x:v>Scenario 024</x:v>
      </x:c>
    </x:row>
    <x:row r="26" ht="140" customHeight="1">
      <x:c r="A26" s="13" t="s">
        <x:v>27</x:v>
      </x:c>
      <x:c r="B26" s="13" t="s">
        <x:v>3</x:v>
      </x:c>
      <x:c r="C26" s="13" t="s">
        <x:v>1</x:v>
      </x:c>
      <x:c r="D26" s="13" t="str">
        <x:v>Synthetic scenario 025. Elements: Windows + Curtain Wall. Systems: AWS 75.SI+ / FWS 50. Complexity: High; profile: Standard; wind: High; region: Urban. Value GBP 121,000; fabrication 1423 h. Physical dimensions and structural capacity are not calculated.</x:v>
      </x:c>
      <x:c r="E26" s="13" t="str">
        <x:v>All added conditions are synthetic assumptions. Statuses follow the Protocol; no historical outcomes or independent expert validation.</x:v>
      </x:c>
      <x:c r="F26" s="20" t="str">
        <x:f>IF(R26=2,"Critical",IF(R26=1,"Clarification","Acceptable"))</x:f>
        <x:v>Critical</x:v>
      </x:c>
      <x:c r="G26" s="20" t="str">
        <x:f>IF(W26&lt;0,"Critical",IF(W26&lt;'Protocol'!$B$25,"Clarification","Acceptable"))</x:f>
        <x:v>Acceptable</x:v>
      </x:c>
      <x:c r="H26" s="20" t="str">
        <x:f>IF(X26&lt;'Protocol'!$B$23,"Critical",IF(X26&lt;'Protocol'!$B$24,"Clarification","Acceptable"))</x:f>
        <x:v>Acceptable</x:v>
      </x:c>
      <x:c r="I26" s="20" t="str">
        <x:f>IF(T26&gt;=2,"Critical",IF(T26=1,"Clarification","Acceptable"))</x:f>
        <x:v>Clarification</x:v>
      </x:c>
      <x:c r="J26" s="20" t="str">
        <x:f t="shared" si="0">IF(COUNTIF(F26:I26,"Critical")&gt;0,"High",IF(COUNTIF(F26:I26,"Clarification")&gt;0,"Medium","Low"))</x:f>
        <x:v>High</x:v>
      </x:c>
      <x:c r="K26" s="20" t="str">
        <x:f>"Technical: "&amp;S26&amp;" Schedule: readiness "&amp;V26&amp;" weeks, deadline "&amp;P26&amp;" weeks, buffer "&amp;W26&amp;" weeks ("&amp;G26&amp;"). Commercial: gross margin "&amp;TEXT(X26,"0.0%")&amp;" ("&amp;H26&amp;"). Documentation: "&amp;U26&amp;" Result: "&amp;J26&amp;IF(J26="High"," because at least one domain is Critical.",IF(J26="Medium"," because clarification is required and no domain is Critical."," because all four domains are Acceptable."))</x:f>
        <x:v>Technical: Model assumes the specified connection cannot fit the selected profile geometry; redesign or profile substitution is required. Schedule: readiness 16 weeks, deadline 21 weeks, buffer 5 weeks (Acceptable). Commercial: gross margin 18.0% (Acceptable). Documentation: Model assumes the installation scope requires written confirmation; drawings and performance requirements are supplied. Result: High because at least one domain is Critical.</x:v>
      </x:c>
      <x:c r="L26" s="20" t="str">
        <x:f>IF(F26="Critical","Revise profile or connection. ",IF(F26="Clarification","Confirm connection and profile compatibility. ",""))&amp;IF(G26="Critical","Revise deadline or procurement/production plan. ",IF(G26="Clarification","Confirm capacity and protect the schedule buffer. ",""))&amp;IF(H26="Critical","Revise price or costs. ",IF(H26="Clarification","Confirm cost allowances and margin. ",""))&amp;IF(I26="Critical","Obtain drawings and performance requirements. ",IF(I26="Clarification","Confirm installation scope. ",""))&amp;IF(J26="Low","Proceed to routine tender checks.","")</x:f>
        <x:v>Revise profile or connection. Confirm installation scope. </x:v>
      </x:c>
      <x:c r="M26" s="20" t="str">
        <x:f t="shared" si="1">IF(J26=B26,"Matches legacy label","Different from legacy label")</x:f>
        <x:v>Matches legacy label</x:v>
      </x:c>
      <x:c r="N26" s="19" t="n">
        <x:v>10</x:v>
      </x:c>
      <x:c r="O26" s="19" t="n">
        <x:v>240</x:v>
      </x:c>
      <x:c r="P26" s="19" t="n">
        <x:v>21</x:v>
      </x:c>
      <x:c r="Q26" s="23" t="n">
        <x:v>99220</x:v>
      </x:c>
      <x:c r="R26" s="19" t="n">
        <x:v>2</x:v>
      </x:c>
      <x:c r="S26" s="21" t="str">
        <x:f>IF(R26=2,"Model assumes the specified connection cannot fit the selected profile geometry; redesign or profile substitution is required.",IF(R26=1,"Model assumes connection and profile compatibility remain to be confirmed; no incompatibility has been established.","Model assumes the selected configuration fulfils the stated requirements; no unresolved technical issue."))</x:f>
        <x:v>Model assumes the specified connection cannot fit the selected profile geometry; redesign or profile substitution is required.</x:v>
      </x:c>
      <x:c r="T26" s="19" t="n">
        <x:v>1</x:v>
      </x:c>
      <x:c r="U26" s="21" t="str">
        <x:f>IF(T26&gt;=2,"Model assumes both final drawings and performance requirements are absent, preventing confirmation of scope and price.",IF(T26=1,"Model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26" s="12" t="n">
        <x:f>N26+ROUNDUP('Original data'!F26/O26,0)</x:f>
        <x:v>16</x:v>
      </x:c>
      <x:c r="W26" s="12" t="n">
        <x:f>P26-V26</x:f>
        <x:v>5</x:v>
      </x:c>
      <x:c r="X26" s="22" t="n">
        <x:f>ROUND(('Original data'!E26-Q26)/'Original data'!E26,10)</x:f>
        <x:v>0.18</x:v>
      </x:c>
      <x:c r="Y26" s="12" t="str">
        <x:v>Synthetic domain-informed scenario; seed 20261002</x:v>
      </x:c>
      <x:c r="Z26" s="12" t="str">
        <x:v>Scenario 025</x:v>
      </x:c>
    </x:row>
    <x:row r="27" ht="140" customHeight="1">
      <x:c r="A27" s="13" t="s">
        <x:v>28</x:v>
      </x:c>
      <x:c r="B27" s="13" t="s">
        <x:v>3</x:v>
      </x:c>
      <x:c r="C27" s="13" t="s">
        <x:v>1</x:v>
      </x:c>
      <x:c r="D27" s="13" t="str">
        <x:v>Synthetic scenario 026. Elements: Curtain Wall only. Systems: FWS 50. Complexity: High; profile: Standard; wind: Low; region: Coastal. Value GBP 42,000; fabrication 383 h. Physical dimensions and structural capacity are not calculated.</x:v>
      </x:c>
      <x:c r="E27" s="13" t="str">
        <x:v>All added conditions are synthetic assumptions. Statuses follow the Protocol; no historical outcomes or independent expert validation.</x:v>
      </x:c>
      <x:c r="F27" s="20" t="str">
        <x:f>IF(R27=2,"Critical",IF(R27=1,"Clarification","Acceptable"))</x:f>
        <x:v>Acceptable</x:v>
      </x:c>
      <x:c r="G27" s="20" t="str">
        <x:f>IF(W27&lt;0,"Critical",IF(W27&lt;'Protocol'!$B$25,"Clarification","Acceptable"))</x:f>
        <x:v>Acceptable</x:v>
      </x:c>
      <x:c r="H27" s="20" t="str">
        <x:f>IF(X27&lt;'Protocol'!$B$23,"Critical",IF(X27&lt;'Protocol'!$B$24,"Clarification","Acceptable"))</x:f>
        <x:v>Acceptable</x:v>
      </x:c>
      <x:c r="I27" s="20" t="str">
        <x:f>IF(T27&gt;=2,"Critical",IF(T27=1,"Clarification","Acceptable"))</x:f>
        <x:v>Clarification</x:v>
      </x:c>
      <x:c r="J27" s="20" t="str">
        <x:f t="shared" si="0">IF(COUNTIF(F27:I27,"Critical")&gt;0,"High",IF(COUNTIF(F27:I27,"Clarification")&gt;0,"Medium","Low"))</x:f>
        <x:v>Medium</x:v>
      </x:c>
      <x:c r="K27" s="20" t="str">
        <x:f>"Technical: "&amp;S27&amp;" Schedule: readiness "&amp;V27&amp;" weeks, deadline "&amp;P27&amp;" weeks, buffer "&amp;W27&amp;" weeks ("&amp;G27&amp;"). Commercial: gross margin "&amp;TEXT(X27,"0.0%")&amp;" ("&amp;H27&amp;"). Documentation: "&amp;U27&amp;" Result: "&amp;J27&amp;IF(J27="High"," because at least one domain is Critical.",IF(J27="Medium"," because clarification is required and no domain is Critical."," because all four domains are Acceptable."))</x:f>
        <x:v>Technical: Model assumes the selected configuration fulfils the stated requirements; no unresolved technical issue. Schedule: readiness 12 weeks, deadline 19 weeks, buffer 7 weeks (Acceptable).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27" s="20" t="str">
        <x:f>IF(F27="Critical","Revise profile or connection. ",IF(F27="Clarification","Confirm connection and profile compatibility. ",""))&amp;IF(G27="Critical","Revise deadline or procurement/production plan. ",IF(G27="Clarification","Confirm capacity and protect the schedule buffer. ",""))&amp;IF(H27="Critical","Revise price or costs. ",IF(H27="Clarification","Confirm cost allowances and margin. ",""))&amp;IF(I27="Critical","Obtain drawings and performance requirements. ",IF(I27="Clarification","Confirm installation scope. ",""))&amp;IF(J27="Low","Proceed to routine tender checks.","")</x:f>
        <x:v>Confirm installation scope. </x:v>
      </x:c>
      <x:c r="M27" s="20" t="str">
        <x:f t="shared" si="1">IF(J27=B27,"Matches legacy label","Different from legacy label")</x:f>
        <x:v>Different from legacy label</x:v>
      </x:c>
      <x:c r="N27" s="19" t="n">
        <x:v>10</x:v>
      </x:c>
      <x:c r="O27" s="19" t="n">
        <x:v>320</x:v>
      </x:c>
      <x:c r="P27" s="19" t="n">
        <x:v>19</x:v>
      </x:c>
      <x:c r="Q27" s="23" t="n">
        <x:v>34440</x:v>
      </x:c>
      <x:c r="R27" s="19" t="n">
        <x:v>0</x:v>
      </x:c>
      <x:c r="S27" s="21" t="str">
        <x:f>IF(R27=2,"Model assumes the specified connection cannot fit the selected profile geometry; redesign or profile substitution is required.",IF(R27=1,"Model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27" s="19" t="n">
        <x:v>1</x:v>
      </x:c>
      <x:c r="U27" s="21" t="str">
        <x:f>IF(T27&gt;=2,"Model assumes both final drawings and performance requirements are absent, preventing confirmation of scope and price.",IF(T27=1,"Model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27" s="12" t="n">
        <x:f>N27+ROUNDUP('Original data'!F27/O27,0)</x:f>
        <x:v>12</x:v>
      </x:c>
      <x:c r="W27" s="12" t="n">
        <x:f>P27-V27</x:f>
        <x:v>7</x:v>
      </x:c>
      <x:c r="X27" s="22" t="n">
        <x:f>ROUND(('Original data'!E27-Q27)/'Original data'!E27,10)</x:f>
        <x:v>0.18</x:v>
      </x:c>
      <x:c r="Y27" s="12" t="str">
        <x:v>Synthetic domain-informed scenario; seed 20261002</x:v>
      </x:c>
      <x:c r="Z27" s="12" t="str">
        <x:v>Scenario 026</x:v>
      </x:c>
    </x:row>
    <x:row r="28" ht="140" customHeight="1">
      <x:c r="A28" s="13" t="s">
        <x:v>29</x:v>
      </x:c>
      <x:c r="B28" s="13" t="s">
        <x:v>1</x:v>
      </x:c>
      <x:c r="C28" s="13" t="s">
        <x:v>1</x:v>
      </x:c>
      <x:c r="D28" s="13" t="str">
        <x:v>Synthetic scenario 027. Elements: Curtain Wall only. Systems: FWS 50. Complexity: Medium; profile: Non-standard; wind: Low; region: Industrial. Value GBP 145,000; fabrication 816 h. Physical dimensions and structural capacity are not calculated.</x:v>
      </x:c>
      <x:c r="E28" s="13" t="str">
        <x:v>All added conditions are synthetic assumptions. Statuses follow the Protocol; no historical outcomes or independent expert validation.</x:v>
      </x:c>
      <x:c r="F28" s="20" t="str">
        <x:f>IF(R28=2,"Critical",IF(R28=1,"Clarification","Acceptable"))</x:f>
        <x:v>Acceptable</x:v>
      </x:c>
      <x:c r="G28" s="20" t="str">
        <x:f>IF(W28&lt;0,"Critical",IF(W28&lt;'Protocol'!$B$25,"Clarification","Acceptable"))</x:f>
        <x:v>Acceptable</x:v>
      </x:c>
      <x:c r="H28" s="20" t="str">
        <x:f>IF(X28&lt;'Protocol'!$B$23,"Critical",IF(X28&lt;'Protocol'!$B$24,"Clarification","Acceptable"))</x:f>
        <x:v>Acceptable</x:v>
      </x:c>
      <x:c r="I28" s="20" t="str">
        <x:f>IF(T28&gt;=2,"Critical",IF(T28=1,"Clarification","Acceptable"))</x:f>
        <x:v>Clarification</x:v>
      </x:c>
      <x:c r="J28" s="20" t="str">
        <x:f t="shared" si="0">IF(COUNTIF(F28:I28,"Critical")&gt;0,"High",IF(COUNTIF(F28:I28,"Clarification")&gt;0,"Medium","Low"))</x:f>
        <x:v>Medium</x:v>
      </x:c>
      <x:c r="K28" s="20" t="str">
        <x:f>"Technical: "&amp;S28&amp;" Schedule: readiness "&amp;V28&amp;" weeks, deadline "&amp;P28&amp;" weeks, buffer "&amp;W28&amp;" weeks ("&amp;G28&amp;"). Commercial: gross margin "&amp;TEXT(X28,"0.0%")&amp;" ("&amp;H28&amp;"). Documentation: "&amp;U28&amp;" Result: "&amp;J28&amp;IF(J28="High"," because at least one domain is Critical.",IF(J28="Medium"," because clarification is required and no domain is Critical."," because all four domains are Acceptable."))</x:f>
        <x:v>Technical: Model assumes the selected configuration fulfils the stated requirements; no unresolved technical issue. Schedule: readiness 15 weeks, deadline 18 weeks, buffer 3 weeks (Acceptable). Commercial: gross margin 22.0% (Acceptable). Documentation: Model assumes the installation scope requires written confirmation; drawings and performance requirements are supplied. Result: Medium because clarification is required and no domain is Critical.</x:v>
      </x:c>
      <x:c r="L28" s="20" t="str">
        <x:f>IF(F28="Critical","Revise profile or connection. ",IF(F28="Clarification","Confirm connection and profile compatibility. ",""))&amp;IF(G28="Critical","Revise deadline or procurement/production plan. ",IF(G28="Clarification","Confirm capacity and protect the schedule buffer. ",""))&amp;IF(H28="Critical","Revise price or costs. ",IF(H28="Clarification","Confirm cost allowances and margin. ",""))&amp;IF(I28="Critical","Obtain drawings and performance requirements. ",IF(I28="Clarification","Confirm installation scope. ",""))&amp;IF(J28="Low","Proceed to routine tender checks.","")</x:f>
        <x:v>Confirm installation scope. </x:v>
      </x:c>
      <x:c r="M28" s="20" t="str">
        <x:f t="shared" si="1">IF(J28=B28,"Matches legacy label","Different from legacy label")</x:f>
        <x:v>Matches legacy label</x:v>
      </x:c>
      <x:c r="N28" s="19" t="n">
        <x:v>12</x:v>
      </x:c>
      <x:c r="O28" s="19" t="n">
        <x:v>320</x:v>
      </x:c>
      <x:c r="P28" s="19" t="n">
        <x:v>18</x:v>
      </x:c>
      <x:c r="Q28" s="23" t="n">
        <x:v>113100</x:v>
      </x:c>
      <x:c r="R28" s="19" t="n">
        <x:v>0</x:v>
      </x:c>
      <x:c r="S28" s="21" t="str">
        <x:f>IF(R28=2,"Model assumes the specified connection cannot fit the selected profile geometry; redesign or profile substitution is required.",IF(R28=1,"Model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28" s="19" t="n">
        <x:v>1</x:v>
      </x:c>
      <x:c r="U28" s="21" t="str">
        <x:f>IF(T28&gt;=2,"Model assumes both final drawings and performance requirements are absent, preventing confirmation of scope and price.",IF(T28=1,"Model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28" s="12" t="n">
        <x:f>N28+ROUNDUP('Original data'!F28/O28,0)</x:f>
        <x:v>15</x:v>
      </x:c>
      <x:c r="W28" s="12" t="n">
        <x:f>P28-V28</x:f>
        <x:v>3</x:v>
      </x:c>
      <x:c r="X28" s="22" t="n">
        <x:f>ROUND(('Original data'!E28-Q28)/'Original data'!E28,10)</x:f>
        <x:v>0.22</x:v>
      </x:c>
      <x:c r="Y28" s="12" t="str">
        <x:v>Synthetic domain-informed scenario; seed 20261002</x:v>
      </x:c>
      <x:c r="Z28" s="12" t="str">
        <x:v>Scenario 027</x:v>
      </x:c>
    </x:row>
    <x:row r="29" ht="140" customHeight="1">
      <x:c r="A29" s="13" t="s">
        <x:v>30</x:v>
      </x:c>
      <x:c r="B29" s="13" t="s">
        <x:v>1</x:v>
      </x:c>
      <x:c r="C29" s="13" t="s">
        <x:v>1</x:v>
      </x:c>
      <x:c r="D29" s="13" t="str">
        <x:v>Synthetic scenario 028. Elements: Windows + Curtain Wall. Systems: AWS 75.SI+ / FWS 50. Complexity: Medium; profile: Standard; wind: High; region: Inland. Value GBP 201,000; fabrication 2288 h. Physical dimensions and structural capacity are not calculated.</x:v>
      </x:c>
      <x:c r="E29" s="13" t="str">
        <x:v>All added conditions are synthetic assumptions. Statuses follow the Protocol; no historical outcomes or independent expert validation.</x:v>
      </x:c>
      <x:c r="F29" s="20" t="str">
        <x:f>IF(R29=2,"Critical",IF(R29=1,"Clarification","Acceptable"))</x:f>
        <x:v>Clarification</x:v>
      </x:c>
      <x:c r="G29" s="20" t="str">
        <x:f>IF(W29&lt;0,"Critical",IF(W29&lt;'Protocol'!$B$25,"Clarification","Acceptable"))</x:f>
        <x:v>Acceptable</x:v>
      </x:c>
      <x:c r="H29" s="20" t="str">
        <x:f>IF(X29&lt;'Protocol'!$B$23,"Critical",IF(X29&lt;'Protocol'!$B$24,"Clarification","Acceptable"))</x:f>
        <x:v>Acceptable</x:v>
      </x:c>
      <x:c r="I29" s="20" t="str">
        <x:f>IF(T29&gt;=2,"Critical",IF(T29=1,"Clarification","Acceptable"))</x:f>
        <x:v>Acceptable</x:v>
      </x:c>
      <x:c r="J29" s="20" t="str">
        <x:f t="shared" si="0">IF(COUNTIF(F29:I29,"Critical")&gt;0,"High",IF(COUNTIF(F29:I29,"Clarification")&gt;0,"Medium","Low"))</x:f>
        <x:v>Medium</x:v>
      </x:c>
      <x:c r="K29" s="20" t="str">
        <x:f>"Technical: "&amp;S29&amp;" Schedule: readiness "&amp;V29&amp;" weeks, deadline "&amp;P29&amp;" weeks, buffer "&amp;W29&amp;" weeks ("&amp;G29&amp;"). Commercial: gross margin "&amp;TEXT(X29,"0.0%")&amp;" ("&amp;H29&amp;"). Documentation: "&amp;U29&amp;" Result: "&amp;J29&amp;IF(J29="High"," because at least one domain is Critical.",IF(J29="Medium","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20 weeks, deadline 23 weeks, buffer 3 weeks (Acceptable). Commercial: gross margin 22.0% (Acceptable). Documentation: Model assumes drawings, installation scope and performance requirements are supplied. Result: Medium because clarification is required and no domain is Critical.</x:v>
      </x:c>
      <x:c r="L29" s="20" t="str">
        <x:f>IF(F29="Critical","Revise profile or connection. ",IF(F29="Clarification","Confirm connection and profile compatibility. ",""))&amp;IF(G29="Critical","Revise deadline or procurement/production plan. ",IF(G29="Clarification","Confirm capacity and protect the schedule buffer. ",""))&amp;IF(H29="Critical","Revise price or costs. ",IF(H29="Clarification","Confirm cost allowances and margin. ",""))&amp;IF(I29="Critical","Obtain drawings and performance requirements. ",IF(I29="Clarification","Confirm installation scope. ",""))&amp;IF(J29="Low","Proceed to routine tender checks.","")</x:f>
        <x:v>Confirm connection and profile compatibility. </x:v>
      </x:c>
      <x:c r="M29" s="20" t="str">
        <x:f t="shared" si="1">IF(J29=B29,"Matches legacy label","Different from legacy label")</x:f>
        <x:v>Matches legacy label</x:v>
      </x:c>
      <x:c r="N29" s="19" t="n">
        <x:v>10</x:v>
      </x:c>
      <x:c r="O29" s="19" t="n">
        <x:v>240</x:v>
      </x:c>
      <x:c r="P29" s="19" t="n">
        <x:v>23</x:v>
      </x:c>
      <x:c r="Q29" s="23" t="n">
        <x:v>156780</x:v>
      </x:c>
      <x:c r="R29" s="19" t="n">
        <x:v>1</x:v>
      </x:c>
      <x:c r="S29" s="21" t="str">
        <x:f>IF(R29=2,"Model assumes the specified connection cannot fit the selected profile geometry; redesign or profile substitution is required.",IF(R29=1,"Model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29" s="19" t="n">
        <x:v>0</x:v>
      </x:c>
      <x:c r="U29" s="21" t="str">
        <x:f>IF(T29&gt;=2,"Model assumes both final drawings and performance requirements are absent, preventing confirmation of scope and price.",IF(T29=1,"Model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29" s="12" t="n">
        <x:f>N29+ROUNDUP('Original data'!F29/O29,0)</x:f>
        <x:v>20</x:v>
      </x:c>
      <x:c r="W29" s="12" t="n">
        <x:f>P29-V29</x:f>
        <x:v>3</x:v>
      </x:c>
      <x:c r="X29" s="22" t="n">
        <x:f>ROUND(('Original data'!E29-Q29)/'Original data'!E29,10)</x:f>
        <x:v>0.22</x:v>
      </x:c>
      <x:c r="Y29" s="12" t="str">
        <x:v>Synthetic domain-informed scenario; seed 20261002</x:v>
      </x:c>
      <x:c r="Z29" s="12" t="str">
        <x:v>Scenario 028</x:v>
      </x:c>
    </x:row>
    <x:row r="30" ht="140" customHeight="1">
      <x:c r="A30" s="13" t="s">
        <x:v>31</x:v>
      </x:c>
      <x:c r="B30" s="13" t="s">
        <x:v>3</x:v>
      </x:c>
      <x:c r="C30" s="13" t="s">
        <x:v>3</x:v>
      </x:c>
      <x:c r="D30" s="13" t="str">
        <x:v>Synthetic scenario 029. Elements: Windows + Doors (High Insulation). Systems: AWS 75.SI+ / ASE 80.HI. Complexity: High; profile: Non-standard; wind: Low; region: Inland. Value GBP 288,000; fabrication 1609 h. Physical dimensions and structural capacity are not calculated.</x:v>
      </x:c>
      <x:c r="E30" s="13" t="str">
        <x:v>All added conditions are synthetic assumptions. Statuses follow the Protocol; no historical outcomes or independent expert validation.</x:v>
      </x:c>
      <x:c r="F30" s="20" t="str">
        <x:f>IF(R30=2,"Critical",IF(R30=1,"Clarification","Acceptable"))</x:f>
        <x:v>Acceptable</x:v>
      </x:c>
      <x:c r="G30" s="20" t="str">
        <x:f>IF(W30&lt;0,"Critical",IF(W30&lt;'Protocol'!$B$25,"Clarification","Acceptable"))</x:f>
        <x:v>Acceptable</x:v>
      </x:c>
      <x:c r="H30" s="20" t="str">
        <x:f>IF(X30&lt;'Protocol'!$B$23,"Critical",IF(X30&lt;'Protocol'!$B$24,"Clarification","Acceptable"))</x:f>
        <x:v>Acceptable</x:v>
      </x:c>
      <x:c r="I30" s="20" t="str">
        <x:f>IF(T30&gt;=2,"Critical",IF(T30=1,"Clarification","Acceptable"))</x:f>
        <x:v>Acceptable</x:v>
      </x:c>
      <x:c r="J30" s="20" t="str">
        <x:f t="shared" si="0">IF(COUNTIF(F30:I30,"Critical")&gt;0,"High",IF(COUNTIF(F30:I30,"Clarification")&gt;0,"Medium","Low"))</x:f>
        <x:v>Low</x:v>
      </x:c>
      <x:c r="K30" s="20" t="str">
        <x:f>"Technical: "&amp;S30&amp;" Schedule: readiness "&amp;V30&amp;" weeks, deadline "&amp;P30&amp;" weeks, buffer "&amp;W30&amp;" weeks ("&amp;G30&amp;"). Commercial: gross margin "&amp;TEXT(X30,"0.0%")&amp;" ("&amp;H30&amp;"). Documentation: "&amp;U30&amp;" Result: "&amp;J30&amp;IF(J30="High"," because at least one domain is Critical.",IF(J30="Medium"," because clarification is required and no domain is Critical."," because all four domains are Acceptable."))</x:f>
        <x:v>Technical: Model assumes the selected configuration fulfils the stated requirements; no unresolved technical issue. Schedule: readiness 23 weeks, deadline 30 weeks, buffer 7 weeks (Acceptable). Commercial: gross margin 18.0% (Acceptable). Documentation: Model assumes drawings, installation scope and performance requirements are supplied. Result: Low because all four domains are Acceptable.</x:v>
      </x:c>
      <x:c r="L30" s="20" t="str">
        <x:f>IF(F30="Critical","Revise profile or connection. ",IF(F30="Clarification","Confirm connection and profile compatibility. ",""))&amp;IF(G30="Critical","Revise deadline or procurement/production plan. ",IF(G30="Clarification","Confirm capacity and protect the schedule buffer. ",""))&amp;IF(H30="Critical","Revise price or costs. ",IF(H30="Clarification","Confirm cost allowances and margin. ",""))&amp;IF(I30="Critical","Obtain drawings and performance requirements. ",IF(I30="Clarification","Confirm installation scope. ",""))&amp;IF(J30="Low","Proceed to routine tender checks.","")</x:f>
        <x:v>Proceed to routine tender checks.</x:v>
      </x:c>
      <x:c r="M30" s="20" t="str">
        <x:f t="shared" si="1">IF(J30=B30,"Matches legacy label","Different from legacy label")</x:f>
        <x:v>Different from legacy label</x:v>
      </x:c>
      <x:c r="N30" s="19" t="n">
        <x:v>12</x:v>
      </x:c>
      <x:c r="O30" s="19" t="n">
        <x:v>160</x:v>
      </x:c>
      <x:c r="P30" s="19" t="n">
        <x:v>30</x:v>
      </x:c>
      <x:c r="Q30" s="23" t="n">
        <x:v>236160</x:v>
      </x:c>
      <x:c r="R30" s="19" t="n">
        <x:v>0</x:v>
      </x:c>
      <x:c r="S30" s="21" t="str">
        <x:f>IF(R30=2,"Model assumes the specified connection cannot fit the selected profile geometry; redesign or profile substitution is required.",IF(R30=1,"Model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30" s="19" t="n">
        <x:v>0</x:v>
      </x:c>
      <x:c r="U30" s="21" t="str">
        <x:f>IF(T30&gt;=2,"Model assumes both final drawings and performance requirements are absent, preventing confirmation of scope and price.",IF(T30=1,"Model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0" s="12" t="n">
        <x:f>N30+ROUNDUP('Original data'!F30/O30,0)</x:f>
        <x:v>23</x:v>
      </x:c>
      <x:c r="W30" s="12" t="n">
        <x:f>P30-V30</x:f>
        <x:v>7</x:v>
      </x:c>
      <x:c r="X30" s="22" t="n">
        <x:f>ROUND(('Original data'!E30-Q30)/'Original data'!E30,10)</x:f>
        <x:v>0.18</x:v>
      </x:c>
      <x:c r="Y30" s="12" t="str">
        <x:v>Synthetic domain-informed scenario; seed 20261002</x:v>
      </x:c>
      <x:c r="Z30" s="12" t="str">
        <x:v>Scenario 029</x:v>
      </x:c>
    </x:row>
    <x:row r="31" ht="140" customHeight="1">
      <x:c r="A31" s="13" t="s">
        <x:v>32</x:v>
      </x:c>
      <x:c r="B31" s="13" t="s">
        <x:v>7</x:v>
      </x:c>
      <x:c r="C31" s="13" t="s">
        <x:v>7</x:v>
      </x:c>
      <x:c r="D31" s="13" t="str">
        <x:v>Synthetic scenario 030. Elements: Curtain Wall only. Systems: FWS 50. Complexity: Low; profile: Standard; wind: Low; region: Industrial. Value GBP 110,000; fabrication 1130 h. Physical dimensions and structural capacity are not calculated.</x:v>
      </x:c>
      <x:c r="E31" s="13" t="str">
        <x:v>All added conditions are synthetic assumptions. Statuses follow the Protocol; no historical outcomes or independent expert validation.</x:v>
      </x:c>
      <x:c r="F31" s="20" t="str">
        <x:f>IF(R31=2,"Critical",IF(R31=1,"Clarification","Acceptable"))</x:f>
        <x:v>Acceptable</x:v>
      </x:c>
      <x:c r="G31" s="20" t="str">
        <x:f>IF(W31&lt;0,"Critical",IF(W31&lt;'Protocol'!$B$25,"Clarification","Acceptable"))</x:f>
        <x:v>Clarification</x:v>
      </x:c>
      <x:c r="H31" s="20" t="str">
        <x:f>IF(X31&lt;'Protocol'!$B$23,"Critical",IF(X31&lt;'Protocol'!$B$24,"Clarification","Acceptable"))</x:f>
        <x:v>Acceptable</x:v>
      </x:c>
      <x:c r="I31" s="20" t="str">
        <x:f>IF(T31&gt;=2,"Critical",IF(T31=1,"Clarification","Acceptable"))</x:f>
        <x:v>Acceptable</x:v>
      </x:c>
      <x:c r="J31" s="20" t="str">
        <x:f t="shared" si="0">IF(COUNTIF(F31:I31,"Critical")&gt;0,"High",IF(COUNTIF(F31:I31,"Clarification")&gt;0,"Medium","Low"))</x:f>
        <x:v>Medium</x:v>
      </x:c>
      <x:c r="K31" s="20" t="str">
        <x:f>"Technical: "&amp;S31&amp;" Schedule: readiness "&amp;V31&amp;" weeks, deadline "&amp;P31&amp;" weeks, buffer "&amp;W31&amp;" weeks ("&amp;G31&amp;"). Commercial: gross margin "&amp;TEXT(X31,"0.0%")&amp;" ("&amp;H31&amp;"). Documentation: "&amp;U31&amp;" Result: "&amp;J31&amp;IF(J31="High"," because at least one domain is Critical.",IF(J31="Medium"," because clarification is required and no domain is Critical."," because all four domains are Acceptable."))</x:f>
        <x:v>Technical: Model assumes the selected configuration fulfils the stated requirements; no unresolved technical issue. Schedule: readiness 14 weeks, deadline 15 weeks, buffer 1 weeks (Clarification). Commercial: gross margin 18.0% (Acceptable). Documentation: Model assumes drawings, installation scope and performance requirements are supplied. Result: Medium because clarification is required and no domain is Critical.</x:v>
      </x:c>
      <x:c r="L31" s="20" t="str">
        <x:f>IF(F31="Critical","Revise profile or connection. ",IF(F31="Clarification","Confirm connection and profile compatibility. ",""))&amp;IF(G31="Critical","Revise deadline or procurement/production plan. ",IF(G31="Clarification","Confirm capacity and protect the schedule buffer. ",""))&amp;IF(H31="Critical","Revise price or costs. ",IF(H31="Clarification","Confirm cost allowances and margin. ",""))&amp;IF(I31="Critical","Obtain drawings and performance requirements. ",IF(I31="Clarification","Confirm installation scope. ",""))&amp;IF(J31="Low","Proceed to routine tender checks.","")</x:f>
        <x:v>Confirm capacity and protect the schedule buffer. </x:v>
      </x:c>
      <x:c r="M31" s="20" t="str">
        <x:f t="shared" si="1">IF(J31=B31,"Matches legacy label","Different from legacy label")</x:f>
        <x:v>Different from legacy label</x:v>
      </x:c>
      <x:c r="N31" s="19" t="n">
        <x:v>10</x:v>
      </x:c>
      <x:c r="O31" s="19" t="n">
        <x:v>320</x:v>
      </x:c>
      <x:c r="P31" s="19" t="n">
        <x:v>15</x:v>
      </x:c>
      <x:c r="Q31" s="23" t="n">
        <x:v>90200</x:v>
      </x:c>
      <x:c r="R31" s="19" t="n">
        <x:v>0</x:v>
      </x:c>
      <x:c r="S31" s="21" t="str">
        <x:f>IF(R31=2,"Model assumes the specified connection cannot fit the selected profile geometry; redesign or profile substitution is required.",IF(R31=1,"Model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31" s="19" t="n">
        <x:v>0</x:v>
      </x:c>
      <x:c r="U31" s="21" t="str">
        <x:f>IF(T31&gt;=2,"Model assumes both final drawings and performance requirements are absent, preventing confirmation of scope and price.",IF(T31=1,"Model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1" s="12" t="n">
        <x:f>N31+ROUNDUP('Original data'!F31/O31,0)</x:f>
        <x:v>14</x:v>
      </x:c>
      <x:c r="W31" s="12" t="n">
        <x:f>P31-V31</x:f>
        <x:v>1</x:v>
      </x:c>
      <x:c r="X31" s="22" t="n">
        <x:f>ROUND(('Original data'!E31-Q31)/'Original data'!E31,10)</x:f>
        <x:v>0.18</x:v>
      </x:c>
      <x:c r="Y31" s="12" t="str">
        <x:v>Synthetic domain-informed scenario; seed 20261002</x:v>
      </x:c>
      <x:c r="Z31" s="12" t="str">
        <x:v>Scenario 030</x:v>
      </x:c>
    </x:row>
    <x:row r="32" ht="140" customHeight="1">
      <x:c r="A32" s="13" t="s">
        <x:v>33</x:v>
      </x:c>
      <x:c r="B32" s="13" t="s">
        <x:v>1</x:v>
      </x:c>
      <x:c r="C32" s="13" t="s">
        <x:v>1</x:v>
      </x:c>
      <x:c r="D32" s="13" t="str">
        <x:v>Synthetic scenario 031. Elements: Windows + Curtain Wall. Systems: AWS 75.SI+ / FWS 50. Complexity: Medium; profile: Non-standard; wind: Low; region: Inland. Value GBP 319,000; fabrication 1854 h. Physical dimensions and structural capacity are not calculated.</x:v>
      </x:c>
      <x:c r="E32" s="13" t="str">
        <x:v>All added conditions are synthetic assumptions. Statuses follow the Protocol; no historical outcomes or independent expert validation.</x:v>
      </x:c>
      <x:c r="F32" s="20" t="str">
        <x:f>IF(R32=2,"Critical",IF(R32=1,"Clarification","Acceptable"))</x:f>
        <x:v>Acceptable</x:v>
      </x:c>
      <x:c r="G32" s="20" t="str">
        <x:f>IF(W32&lt;0,"Critical",IF(W32&lt;'Protocol'!$B$25,"Clarification","Acceptable"))</x:f>
        <x:v>Clarification</x:v>
      </x:c>
      <x:c r="H32" s="20" t="str">
        <x:f>IF(X32&lt;'Protocol'!$B$23,"Critical",IF(X32&lt;'Protocol'!$B$24,"Clarification","Acceptable"))</x:f>
        <x:v>Acceptable</x:v>
      </x:c>
      <x:c r="I32" s="20" t="str">
        <x:f>IF(T32&gt;=2,"Critical",IF(T32=1,"Clarification","Acceptable"))</x:f>
        <x:v>Acceptable</x:v>
      </x:c>
      <x:c r="J32" s="20" t="str">
        <x:f t="shared" si="0">IF(COUNTIF(F32:I32,"Critical")&gt;0,"High",IF(COUNTIF(F32:I32,"Clarification")&gt;0,"Medium","Low"))</x:f>
        <x:v>Medium</x:v>
      </x:c>
      <x:c r="K32" s="20" t="str">
        <x:f>"Technical: "&amp;S32&amp;" Schedule: readiness "&amp;V32&amp;" weeks, deadline "&amp;P32&amp;" weeks, buffer "&amp;W32&amp;" weeks ("&amp;G32&amp;"). Commercial: gross margin "&amp;TEXT(X32,"0.0%")&amp;" ("&amp;H32&amp;"). Documentation: "&amp;U32&amp;" Result: "&amp;J32&amp;IF(J32="High"," because at least one domain is Critical.",IF(J32="Medium"," because clarification is required and no domain is Critical."," because all four domains are Acceptable."))</x:f>
        <x:v>Technical: Model assumes the selected configuration fulfils the stated requirements; no unresolved technical issue. Schedule: readiness 18 weeks, deadline 19 weeks, buffer 1 weeks (Clarification). Commercial: gross margin 22.0% (Acceptable). Documentation: Model assumes drawings, installation scope and performance requirements are supplied. Result: Medium because clarification is required and no domain is Critical.</x:v>
      </x:c>
      <x:c r="L32" s="20" t="str">
        <x:f>IF(F32="Critical","Revise profile or connection. ",IF(F32="Clarification","Confirm connection and profile compatibility. ",""))&amp;IF(G32="Critical","Revise deadline or procurement/production plan. ",IF(G32="Clarification","Confirm capacity and protect the schedule buffer. ",""))&amp;IF(H32="Critical","Revise price or costs. ",IF(H32="Clarification","Confirm cost allowances and margin. ",""))&amp;IF(I32="Critical","Obtain drawings and performance requirements. ",IF(I32="Clarification","Confirm installation scope. ",""))&amp;IF(J32="Low","Proceed to routine tender checks.","")</x:f>
        <x:v>Confirm capacity and protect the schedule buffer. </x:v>
      </x:c>
      <x:c r="M32" s="20" t="str">
        <x:f t="shared" si="1">IF(J32=B32,"Matches legacy label","Different from legacy label")</x:f>
        <x:v>Matches legacy label</x:v>
      </x:c>
      <x:c r="N32" s="19" t="n">
        <x:v>12</x:v>
      </x:c>
      <x:c r="O32" s="19" t="n">
        <x:v>320</x:v>
      </x:c>
      <x:c r="P32" s="19" t="n">
        <x:v>19</x:v>
      </x:c>
      <x:c r="Q32" s="23" t="n">
        <x:v>248820</x:v>
      </x:c>
      <x:c r="R32" s="19" t="n">
        <x:v>0</x:v>
      </x:c>
      <x:c r="S32" s="21" t="str">
        <x:f>IF(R32=2,"Model assumes the specified connection cannot fit the selected profile geometry; redesign or profile substitution is required.",IF(R32=1,"Model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32" s="19" t="n">
        <x:v>0</x:v>
      </x:c>
      <x:c r="U32" s="21" t="str">
        <x:f>IF(T32&gt;=2,"Model assumes both final drawings and performance requirements are absent, preventing confirmation of scope and price.",IF(T32=1,"Model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2" s="12" t="n">
        <x:f>N32+ROUNDUP('Original data'!F32/O32,0)</x:f>
        <x:v>18</x:v>
      </x:c>
      <x:c r="W32" s="12" t="n">
        <x:f>P32-V32</x:f>
        <x:v>1</x:v>
      </x:c>
      <x:c r="X32" s="22" t="n">
        <x:f>ROUND(('Original data'!E32-Q32)/'Original data'!E32,10)</x:f>
        <x:v>0.22</x:v>
      </x:c>
      <x:c r="Y32" s="12" t="str">
        <x:v>Synthetic domain-informed scenario; seed 20261002</x:v>
      </x:c>
      <x:c r="Z32" s="12" t="str">
        <x:v>Scenario 031</x:v>
      </x:c>
    </x:row>
    <x:row r="33" ht="140" customHeight="1">
      <x:c r="A33" s="13" t="s">
        <x:v>34</x:v>
      </x:c>
      <x:c r="B33" s="13" t="s">
        <x:v>7</x:v>
      </x:c>
      <x:c r="C33" s="13" t="s">
        <x:v>1</x:v>
      </x:c>
      <x:c r="D33" s="13" t="str">
        <x:v>Synthetic scenario 032. Elements: Curtain Wall only. Systems: FWS 50. Complexity: Medium; profile: Standard; wind: Low; region: Inland. Value GBP 139,000; fabrication 480 h. Physical dimensions and structural capacity are not calculated.</x:v>
      </x:c>
      <x:c r="E33" s="13" t="str">
        <x:v>All added conditions are synthetic assumptions. Statuses follow the Protocol; no historical outcomes or independent expert validation.</x:v>
      </x:c>
      <x:c r="F33" s="20" t="str">
        <x:f>IF(R33=2,"Critical",IF(R33=1,"Clarification","Acceptable"))</x:f>
        <x:v>Clarification</x:v>
      </x:c>
      <x:c r="G33" s="20" t="str">
        <x:f>IF(W33&lt;0,"Critical",IF(W33&lt;'Protocol'!$B$25,"Clarification","Acceptable"))</x:f>
        <x:v>Acceptable</x:v>
      </x:c>
      <x:c r="H33" s="20" t="str">
        <x:f>IF(X33&lt;'Protocol'!$B$23,"Critical",IF(X33&lt;'Protocol'!$B$24,"Clarification","Acceptable"))</x:f>
        <x:v>Acceptable</x:v>
      </x:c>
      <x:c r="I33" s="20" t="str">
        <x:f>IF(T33&gt;=2,"Critical",IF(T33=1,"Clarification","Acceptable"))</x:f>
        <x:v>Clarification</x:v>
      </x:c>
      <x:c r="J33" s="20" t="str">
        <x:f t="shared" si="0">IF(COUNTIF(F33:I33,"Critical")&gt;0,"High",IF(COUNTIF(F33:I33,"Clarification")&gt;0,"Medium","Low"))</x:f>
        <x:v>Medium</x:v>
      </x:c>
      <x:c r="K33" s="20" t="str">
        <x:f>"Technical: "&amp;S33&amp;" Schedule: readiness "&amp;V33&amp;" weeks, deadline "&amp;P33&amp;" weeks, buffer "&amp;W33&amp;" weeks ("&amp;G33&amp;"). Commercial: gross margin "&amp;TEXT(X33,"0.0%")&amp;" ("&amp;H33&amp;"). Documentation: "&amp;U33&amp;" Result: "&amp;J33&amp;IF(J33="High"," because at least one domain is Critical.",IF(J33="Medium","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13 weeks, deadline 16 weeks, buffer 3 weeks (Acceptable).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33" s="20" t="str">
        <x:f>IF(F33="Critical","Revise profile or connection. ",IF(F33="Clarification","Confirm connection and profile compatibility. ",""))&amp;IF(G33="Critical","Revise deadline or procurement/production plan. ",IF(G33="Clarification","Confirm capacity and protect the schedule buffer. ",""))&amp;IF(H33="Critical","Revise price or costs. ",IF(H33="Clarification","Confirm cost allowances and margin. ",""))&amp;IF(I33="Critical","Obtain drawings and performance requirements. ",IF(I33="Clarification","Confirm installation scope. ",""))&amp;IF(J33="Low","Proceed to routine tender checks.","")</x:f>
        <x:v>Confirm connection and profile compatibility. Confirm installation scope. </x:v>
      </x:c>
      <x:c r="M33" s="20" t="str">
        <x:f t="shared" si="1">IF(J33=B33,"Matches legacy label","Different from legacy label")</x:f>
        <x:v>Different from legacy label</x:v>
      </x:c>
      <x:c r="N33" s="19" t="n">
        <x:v>10</x:v>
      </x:c>
      <x:c r="O33" s="19" t="n">
        <x:v>160</x:v>
      </x:c>
      <x:c r="P33" s="19" t="n">
        <x:v>16</x:v>
      </x:c>
      <x:c r="Q33" s="23" t="n">
        <x:v>113980</x:v>
      </x:c>
      <x:c r="R33" s="19" t="n">
        <x:v>1</x:v>
      </x:c>
      <x:c r="S33" s="21" t="str">
        <x:f>IF(R33=2,"Model assumes the specified connection cannot fit the selected profile geometry; redesign or profile substitution is required.",IF(R33=1,"Model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33" s="19" t="n">
        <x:v>1</x:v>
      </x:c>
      <x:c r="U33" s="21" t="str">
        <x:f>IF(T33&gt;=2,"Model assumes both final drawings and performance requirements are absent, preventing confirmation of scope and price.",IF(T33=1,"Model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33" s="12" t="n">
        <x:f>N33+ROUNDUP('Original data'!F33/O33,0)</x:f>
        <x:v>13</x:v>
      </x:c>
      <x:c r="W33" s="12" t="n">
        <x:f>P33-V33</x:f>
        <x:v>3</x:v>
      </x:c>
      <x:c r="X33" s="22" t="n">
        <x:f>ROUND(('Original data'!E33-Q33)/'Original data'!E33,10)</x:f>
        <x:v>0.18</x:v>
      </x:c>
      <x:c r="Y33" s="12" t="str">
        <x:v>Synthetic domain-informed scenario; seed 20261002</x:v>
      </x:c>
      <x:c r="Z33" s="12" t="str">
        <x:v>Scenario 032</x:v>
      </x:c>
    </x:row>
    <x:row r="34" ht="140" customHeight="1">
      <x:c r="A34" s="13" t="s">
        <x:v>35</x:v>
      </x:c>
      <x:c r="B34" s="13" t="s">
        <x:v>1</x:v>
      </x:c>
      <x:c r="C34" s="13" t="s">
        <x:v>1</x:v>
      </x:c>
      <x:c r="D34" s="13" t="str">
        <x:v>Synthetic scenario 033. Elements: Windows + Doors (High Insulation). Systems: AWS 75.SI+ / ASE 80.HI. Complexity: High; profile: Non-standard; wind: Low; region: Urban. Value GBP 40,000; fabrication 381 h. Physical dimensions and structural capacity are not calculated.</x:v>
      </x:c>
      <x:c r="E34" s="13" t="str">
        <x:v>All added conditions are synthetic assumptions. Statuses follow the Protocol; no historical outcomes or independent expert validation.</x:v>
      </x:c>
      <x:c r="F34" s="20" t="str">
        <x:f>IF(R34=2,"Critical",IF(R34=1,"Clarification","Acceptable"))</x:f>
        <x:v>Acceptable</x:v>
      </x:c>
      <x:c r="G34" s="20" t="str">
        <x:f>IF(W34&lt;0,"Critical",IF(W34&lt;'Protocol'!$B$25,"Clarification","Acceptable"))</x:f>
        <x:v>Critical</x:v>
      </x:c>
      <x:c r="H34" s="20" t="str">
        <x:f>IF(X34&lt;'Protocol'!$B$23,"Critical",IF(X34&lt;'Protocol'!$B$24,"Clarification","Acceptable"))</x:f>
        <x:v>Clarification</x:v>
      </x:c>
      <x:c r="I34" s="20" t="str">
        <x:f>IF(T34&gt;=2,"Critical",IF(T34=1,"Clarification","Acceptable"))</x:f>
        <x:v>Clarification</x:v>
      </x:c>
      <x:c r="J34" s="20" t="str">
        <x:f t="shared" ref="J34:J65" si="2">IF(COUNTIF(F34:I34,"Critical")&gt;0,"High",IF(COUNTIF(F34:I34,"Clarification")&gt;0,"Medium","Low"))</x:f>
        <x:v>High</x:v>
      </x:c>
      <x:c r="K34" s="20" t="str">
        <x:f>"Technical: "&amp;S34&amp;" Schedule: readiness "&amp;V34&amp;" weeks, deadline "&amp;P34&amp;" weeks, buffer "&amp;W34&amp;" weeks ("&amp;G34&amp;"). Commercial: gross margin "&amp;TEXT(X34,"0.0%")&amp;" ("&amp;H34&amp;"). Documentation: "&amp;U34&amp;" Result: "&amp;J34&amp;IF(J34="High"," because at least one domain is Critical.",IF(J34="Medium"," because clarification is required and no domain is Critical."," because all four domains are Acceptable."))</x:f>
        <x:v>Technical: Model assumes the selected configuration fulfils the stated requirements; no unresolved technical issue. Schedule: readiness 15 weeks, deadline 14 weeks, buffer -1 weeks (Critical). Commercial: gross margin 12.0% (Clarification). Documentation: Model assumes the installation scope requires written confirmation; drawings and performance requirements are supplied. Result: High because at least one domain is Critical.</x:v>
      </x:c>
      <x:c r="L34" s="20" t="str">
        <x:f>IF(F34="Critical","Revise profile or connection. ",IF(F34="Clarification","Confirm connection and profile compatibility. ",""))&amp;IF(G34="Critical","Revise deadline or procurement/production plan. ",IF(G34="Clarification","Confirm capacity and protect the schedule buffer. ",""))&amp;IF(H34="Critical","Revise price or costs. ",IF(H34="Clarification","Confirm cost allowances and margin. ",""))&amp;IF(I34="Critical","Obtain drawings and performance requirements. ",IF(I34="Clarification","Confirm installation scope. ",""))&amp;IF(J34="Low","Proceed to routine tender checks.","")</x:f>
        <x:v>Revise deadline or procurement/production plan. Confirm cost allowances and margin. Confirm installation scope. </x:v>
      </x:c>
      <x:c r="M34" s="20" t="str">
        <x:f t="shared" ref="M34:M65" si="3">IF(J34=B34,"Matches legacy label","Different from legacy label")</x:f>
        <x:v>Different from legacy label</x:v>
      </x:c>
      <x:c r="N34" s="19" t="n">
        <x:v>12</x:v>
      </x:c>
      <x:c r="O34" s="19" t="n">
        <x:v>160</x:v>
      </x:c>
      <x:c r="P34" s="19" t="n">
        <x:v>14</x:v>
      </x:c>
      <x:c r="Q34" s="23" t="n">
        <x:v>35200</x:v>
      </x:c>
      <x:c r="R34" s="19" t="n">
        <x:v>0</x:v>
      </x:c>
      <x:c r="S34" s="21" t="str">
        <x:f>IF(R34=2,"Model assumes the specified connection cannot fit the selected profile geometry; redesign or profile substitution is required.",IF(R34=1,"Model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34" s="19" t="n">
        <x:v>1</x:v>
      </x:c>
      <x:c r="U34" s="21" t="str">
        <x:f>IF(T34&gt;=2,"Model assumes both final drawings and performance requirements are absent, preventing confirmation of scope and price.",IF(T34=1,"Model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34" s="12" t="n">
        <x:f>N34+ROUNDUP('Original data'!F34/O34,0)</x:f>
        <x:v>15</x:v>
      </x:c>
      <x:c r="W34" s="12" t="n">
        <x:f>P34-V34</x:f>
        <x:v>-1</x:v>
      </x:c>
      <x:c r="X34" s="22" t="n">
        <x:f>ROUND(('Original data'!E34-Q34)/'Original data'!E34,10)</x:f>
        <x:v>0.12</x:v>
      </x:c>
      <x:c r="Y34" s="12" t="str">
        <x:v>Synthetic domain-informed scenario; seed 20261002</x:v>
      </x:c>
      <x:c r="Z34" s="12" t="str">
        <x:v>Scenario 033</x:v>
      </x:c>
    </x:row>
    <x:row r="35" ht="140" customHeight="1">
      <x:c r="A35" s="13" t="s">
        <x:v>36</x:v>
      </x:c>
      <x:c r="B35" s="13" t="s">
        <x:v>3</x:v>
      </x:c>
      <x:c r="C35" s="13" t="s">
        <x:v>3</x:v>
      </x:c>
      <x:c r="D35" s="13" t="str">
        <x:v>Synthetic scenario 034. Elements: Curtain Wall only. Systems: FWS 60. Complexity: High; profile: Non-standard; wind: Low; region: Urban. Value GBP 489,000; fabrication 5065 h. Physical dimensions and structural capacity are not calculated.</x:v>
      </x:c>
      <x:c r="E35" s="13" t="str">
        <x:v>All added conditions are synthetic assumptions. Statuses follow the Protocol; no historical outcomes or independent expert validation.</x:v>
      </x:c>
      <x:c r="F35" s="20" t="str">
        <x:f>IF(R35=2,"Critical",IF(R35=1,"Clarification","Acceptable"))</x:f>
        <x:v>Acceptable</x:v>
      </x:c>
      <x:c r="G35" s="20" t="str">
        <x:f>IF(W35&lt;0,"Critical",IF(W35&lt;'Protocol'!$B$25,"Clarification","Acceptable"))</x:f>
        <x:v>Acceptable</x:v>
      </x:c>
      <x:c r="H35" s="20" t="str">
        <x:f>IF(X35&lt;'Protocol'!$B$23,"Critical",IF(X35&lt;'Protocol'!$B$24,"Clarification","Acceptable"))</x:f>
        <x:v>Acceptable</x:v>
      </x:c>
      <x:c r="I35" s="20" t="str">
        <x:f>IF(T35&gt;=2,"Critical",IF(T35=1,"Clarification","Acceptable"))</x:f>
        <x:v>Acceptable</x:v>
      </x:c>
      <x:c r="J35" s="20" t="str">
        <x:f t="shared" si="2">IF(COUNTIF(F35:I35,"Critical")&gt;0,"High",IF(COUNTIF(F35:I35,"Clarification")&gt;0,"Medium","Low"))</x:f>
        <x:v>Low</x:v>
      </x:c>
      <x:c r="K35" s="20" t="str">
        <x:f>"Technical: "&amp;S35&amp;" Schedule: readiness "&amp;V35&amp;" weeks, deadline "&amp;P35&amp;" weeks, buffer "&amp;W35&amp;" weeks ("&amp;G35&amp;"). Commercial: gross margin "&amp;TEXT(X35,"0.0%")&amp;" ("&amp;H35&amp;"). Documentation: "&amp;U35&amp;" Result: "&amp;J35&amp;IF(J35="High"," because at least one domain is Critical.",IF(J35="Medium"," because clarification is required and no domain is Critical."," because all four domains are Acceptable."))</x:f>
        <x:v>Technical: Model assumes the selected configuration fulfils the stated requirements; no unresolved technical issue. Schedule: readiness 34 weeks, deadline 37 weeks, buffer 3 weeks (Acceptable). Commercial: gross margin 22.0% (Acceptable). Documentation: Model assumes drawings, installation scope and performance requirements are supplied. Result: Low because all four domains are Acceptable.</x:v>
      </x:c>
      <x:c r="L35" s="20" t="str">
        <x:f>IF(F35="Critical","Revise profile or connection. ",IF(F35="Clarification","Confirm connection and profile compatibility. ",""))&amp;IF(G35="Critical","Revise deadline or procurement/production plan. ",IF(G35="Clarification","Confirm capacity and protect the schedule buffer. ",""))&amp;IF(H35="Critical","Revise price or costs. ",IF(H35="Clarification","Confirm cost allowances and margin. ",""))&amp;IF(I35="Critical","Obtain drawings and performance requirements. ",IF(I35="Clarification","Confirm installation scope. ",""))&amp;IF(J35="Low","Proceed to routine tender checks.","")</x:f>
        <x:v>Proceed to routine tender checks.</x:v>
      </x:c>
      <x:c r="M35" s="20" t="str">
        <x:f t="shared" si="3">IF(J35=B35,"Matches legacy label","Different from legacy label")</x:f>
        <x:v>Different from legacy label</x:v>
      </x:c>
      <x:c r="N35" s="19" t="n">
        <x:v>12</x:v>
      </x:c>
      <x:c r="O35" s="19" t="n">
        <x:v>240</x:v>
      </x:c>
      <x:c r="P35" s="19" t="n">
        <x:v>37</x:v>
      </x:c>
      <x:c r="Q35" s="23" t="n">
        <x:v>381420</x:v>
      </x:c>
      <x:c r="R35" s="19" t="n">
        <x:v>0</x:v>
      </x:c>
      <x:c r="S35" s="21" t="str">
        <x:f>IF(R35=2,"Model assumes the specified connection cannot fit the selected profile geometry; redesign or profile substitution is required.",IF(R35=1,"Model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35" s="19" t="n">
        <x:v>0</x:v>
      </x:c>
      <x:c r="U35" s="21" t="str">
        <x:f>IF(T35&gt;=2,"Model assumes both final drawings and performance requirements are absent, preventing confirmation of scope and price.",IF(T35=1,"Model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5" s="12" t="n">
        <x:f>N35+ROUNDUP('Original data'!F35/O35,0)</x:f>
        <x:v>34</x:v>
      </x:c>
      <x:c r="W35" s="12" t="n">
        <x:f>P35-V35</x:f>
        <x:v>3</x:v>
      </x:c>
      <x:c r="X35" s="22" t="n">
        <x:f>ROUND(('Original data'!E35-Q35)/'Original data'!E35,10)</x:f>
        <x:v>0.22</x:v>
      </x:c>
      <x:c r="Y35" s="12" t="str">
        <x:v>Synthetic domain-informed scenario; seed 20261002</x:v>
      </x:c>
      <x:c r="Z35" s="12" t="str">
        <x:v>Scenario 034</x:v>
      </x:c>
    </x:row>
    <x:row r="36" ht="140" customHeight="1">
      <x:c r="A36" s="13" t="s">
        <x:v>37</x:v>
      </x:c>
      <x:c r="B36" s="13" t="s">
        <x:v>7</x:v>
      </x:c>
      <x:c r="C36" s="13" t="s">
        <x:v>1</x:v>
      </x:c>
      <x:c r="D36" s="13" t="str">
        <x:v>Synthetic scenario 035. Elements: Curtain Wall only. Systems: FWS 50. Complexity: Medium; profile: Standard; wind: Low; region: Coastal. Value GBP 243,000; fabrication 924 h. Physical dimensions and structural capacity are not calculated.</x:v>
      </x:c>
      <x:c r="E36" s="13" t="str">
        <x:v>All added conditions are synthetic assumptions. Statuses follow the Protocol; no historical outcomes or independent expert validation.</x:v>
      </x:c>
      <x:c r="F36" s="20" t="str">
        <x:f>IF(R36=2,"Critical",IF(R36=1,"Clarification","Acceptable"))</x:f>
        <x:v>Acceptable</x:v>
      </x:c>
      <x:c r="G36" s="20" t="str">
        <x:f>IF(W36&lt;0,"Critical",IF(W36&lt;'Protocol'!$B$25,"Clarification","Acceptable"))</x:f>
        <x:v>Acceptable</x:v>
      </x:c>
      <x:c r="H36" s="20" t="str">
        <x:f>IF(X36&lt;'Protocol'!$B$23,"Critical",IF(X36&lt;'Protocol'!$B$24,"Clarification","Acceptable"))</x:f>
        <x:v>Acceptable</x:v>
      </x:c>
      <x:c r="I36" s="20" t="str">
        <x:f>IF(T36&gt;=2,"Critical",IF(T36=1,"Clarification","Acceptable"))</x:f>
        <x:v>Acceptable</x:v>
      </x:c>
      <x:c r="J36" s="20" t="str">
        <x:f t="shared" si="2">IF(COUNTIF(F36:I36,"Critical")&gt;0,"High",IF(COUNTIF(F36:I36,"Clarification")&gt;0,"Medium","Low"))</x:f>
        <x:v>Low</x:v>
      </x:c>
      <x:c r="K36" s="20" t="str">
        <x:f>"Technical: "&amp;S36&amp;" Schedule: readiness "&amp;V36&amp;" weeks, deadline "&amp;P36&amp;" weeks, buffer "&amp;W36&amp;" weeks ("&amp;G36&amp;"). Commercial: gross margin "&amp;TEXT(X36,"0.0%")&amp;" ("&amp;H36&amp;"). Documentation: "&amp;U36&amp;" Result: "&amp;J36&amp;IF(J36="High"," because at least one domain is Critical.",IF(J36="Medium"," because clarification is required and no domain is Critical."," because all four domains are Acceptable."))</x:f>
        <x:v>Technical: Model assumes the selected configuration fulfils the stated requirements; no unresolved technical issue. Schedule: readiness 13 weeks, deadline 16 weeks, buffer 3 weeks (Acceptable). Commercial: gross margin 18.0% (Acceptable). Documentation: Model assumes drawings, installation scope and performance requirements are supplied. Result: Low because all four domains are Acceptable.</x:v>
      </x:c>
      <x:c r="L36" s="20" t="str">
        <x:f>IF(F36="Critical","Revise profile or connection. ",IF(F36="Clarification","Confirm connection and profile compatibility. ",""))&amp;IF(G36="Critical","Revise deadline or procurement/production plan. ",IF(G36="Clarification","Confirm capacity and protect the schedule buffer. ",""))&amp;IF(H36="Critical","Revise price or costs. ",IF(H36="Clarification","Confirm cost allowances and margin. ",""))&amp;IF(I36="Critical","Obtain drawings and performance requirements. ",IF(I36="Clarification","Confirm installation scope. ",""))&amp;IF(J36="Low","Proceed to routine tender checks.","")</x:f>
        <x:v>Proceed to routine tender checks.</x:v>
      </x:c>
      <x:c r="M36" s="20" t="str">
        <x:f t="shared" si="3">IF(J36=B36,"Matches legacy label","Different from legacy label")</x:f>
        <x:v>Matches legacy label</x:v>
      </x:c>
      <x:c r="N36" s="19" t="n">
        <x:v>10</x:v>
      </x:c>
      <x:c r="O36" s="19" t="n">
        <x:v>320</x:v>
      </x:c>
      <x:c r="P36" s="19" t="n">
        <x:v>16</x:v>
      </x:c>
      <x:c r="Q36" s="23" t="n">
        <x:v>199260</x:v>
      </x:c>
      <x:c r="R36" s="19" t="n">
        <x:v>0</x:v>
      </x:c>
      <x:c r="S36" s="21" t="str">
        <x:f>IF(R36=2,"Model assumes the specified connection cannot fit the selected profile geometry; redesign or profile substitution is required.",IF(R36=1,"Model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36" s="19" t="n">
        <x:v>0</x:v>
      </x:c>
      <x:c r="U36" s="21" t="str">
        <x:f>IF(T36&gt;=2,"Model assumes both final drawings and performance requirements are absent, preventing confirmation of scope and price.",IF(T36=1,"Model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6" s="12" t="n">
        <x:f>N36+ROUNDUP('Original data'!F36/O36,0)</x:f>
        <x:v>13</x:v>
      </x:c>
      <x:c r="W36" s="12" t="n">
        <x:f>P36-V36</x:f>
        <x:v>3</x:v>
      </x:c>
      <x:c r="X36" s="22" t="n">
        <x:f>ROUND(('Original data'!E36-Q36)/'Original data'!E36,10)</x:f>
        <x:v>0.18</x:v>
      </x:c>
      <x:c r="Y36" s="12" t="str">
        <x:v>Synthetic domain-informed scenario; seed 20261002</x:v>
      </x:c>
      <x:c r="Z36" s="12" t="str">
        <x:v>Scenario 035</x:v>
      </x:c>
    </x:row>
    <x:row r="37" ht="140" customHeight="1">
      <x:c r="A37" s="13" t="s">
        <x:v>38</x:v>
      </x:c>
      <x:c r="B37" s="13" t="s">
        <x:v>7</x:v>
      </x:c>
      <x:c r="C37" s="13" t="s">
        <x:v>7</x:v>
      </x:c>
      <x:c r="D37" s="13" t="str">
        <x:v>Synthetic scenario 036. Elements: Windows + Doors + Curtain Wall. Systems: AWS 75.SI+ / FWS 50 / AD UP 75. Complexity: Medium; profile: Standard; wind: Low; region: Inland. Value GBP 195,000; fabrication 2377 h. Physical dimensions and structural capacity are not calculated.</x:v>
      </x:c>
      <x:c r="E37" s="13" t="str">
        <x:v>All added conditions are synthetic assumptions. Statuses follow the Protocol; no historical outcomes or independent expert validation.</x:v>
      </x:c>
      <x:c r="F37" s="20" t="str">
        <x:f>IF(R37=2,"Critical",IF(R37=1,"Clarification","Acceptable"))</x:f>
        <x:v>Clarification</x:v>
      </x:c>
      <x:c r="G37" s="20" t="str">
        <x:f>IF(W37&lt;0,"Critical",IF(W37&lt;'Protocol'!$B$25,"Clarification","Acceptable"))</x:f>
        <x:v>Acceptable</x:v>
      </x:c>
      <x:c r="H37" s="20" t="str">
        <x:f>IF(X37&lt;'Protocol'!$B$23,"Critical",IF(X37&lt;'Protocol'!$B$24,"Clarification","Acceptable"))</x:f>
        <x:v>Critical</x:v>
      </x:c>
      <x:c r="I37" s="20" t="str">
        <x:f>IF(T37&gt;=2,"Critical",IF(T37=1,"Clarification","Acceptable"))</x:f>
        <x:v>Acceptable</x:v>
      </x:c>
      <x:c r="J37" s="20" t="str">
        <x:f t="shared" si="2">IF(COUNTIF(F37:I37,"Critical")&gt;0,"High",IF(COUNTIF(F37:I37,"Clarification")&gt;0,"Medium","Low"))</x:f>
        <x:v>High</x:v>
      </x:c>
      <x:c r="K37" s="20" t="str">
        <x:f>"Technical: "&amp;S37&amp;" Schedule: readiness "&amp;V37&amp;" weeks, deadline "&amp;P37&amp;" weeks, buffer "&amp;W37&amp;" weeks ("&amp;G37&amp;"). Commercial: gross margin "&amp;TEXT(X37,"0.0%")&amp;" ("&amp;H37&amp;"). Documentation: "&amp;U37&amp;" Result: "&amp;J37&amp;IF(J37="High"," because at least one domain is Critical.",IF(J37="Medium","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20 weeks, deadline 27 weeks, buffer 7 weeks (Acceptable). Commercial: gross margin 7.0% (Critical). Documentation: Model assumes drawings, installation scope and performance requirements are supplied. Result: High because at least one domain is Critical.</x:v>
      </x:c>
      <x:c r="L37" s="20" t="str">
        <x:f>IF(F37="Critical","Revise profile or connection. ",IF(F37="Clarification","Confirm connection and profile compatibility. ",""))&amp;IF(G37="Critical","Revise deadline or procurement/production plan. ",IF(G37="Clarification","Confirm capacity and protect the schedule buffer. ",""))&amp;IF(H37="Critical","Revise price or costs. ",IF(H37="Clarification","Confirm cost allowances and margin. ",""))&amp;IF(I37="Critical","Obtain drawings and performance requirements. ",IF(I37="Clarification","Confirm installation scope. ",""))&amp;IF(J37="Low","Proceed to routine tender checks.","")</x:f>
        <x:v>Confirm connection and profile compatibility. Revise price or costs. </x:v>
      </x:c>
      <x:c r="M37" s="20" t="str">
        <x:f t="shared" si="3">IF(J37=B37,"Matches legacy label","Different from legacy label")</x:f>
        <x:v>Different from legacy label</x:v>
      </x:c>
      <x:c r="N37" s="19" t="n">
        <x:v>10</x:v>
      </x:c>
      <x:c r="O37" s="19" t="n">
        <x:v>240</x:v>
      </x:c>
      <x:c r="P37" s="19" t="n">
        <x:v>27</x:v>
      </x:c>
      <x:c r="Q37" s="23" t="n">
        <x:v>181350</x:v>
      </x:c>
      <x:c r="R37" s="19" t="n">
        <x:v>1</x:v>
      </x:c>
      <x:c r="S37" s="21" t="str">
        <x:f>IF(R37=2,"Model assumes the specified connection cannot fit the selected profile geometry; redesign or profile substitution is required.",IF(R37=1,"Model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37" s="19" t="n">
        <x:v>0</x:v>
      </x:c>
      <x:c r="U37" s="21" t="str">
        <x:f>IF(T37&gt;=2,"Model assumes both final drawings and performance requirements are absent, preventing confirmation of scope and price.",IF(T37=1,"Model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7" s="12" t="n">
        <x:f>N37+ROUNDUP('Original data'!F37/O37,0)</x:f>
        <x:v>20</x:v>
      </x:c>
      <x:c r="W37" s="12" t="n">
        <x:f>P37-V37</x:f>
        <x:v>7</x:v>
      </x:c>
      <x:c r="X37" s="22" t="n">
        <x:f>ROUND(('Original data'!E37-Q37)/'Original data'!E37,10)</x:f>
        <x:v>0.07</x:v>
      </x:c>
      <x:c r="Y37" s="12" t="str">
        <x:v>Synthetic domain-informed scenario; seed 20261002</x:v>
      </x:c>
      <x:c r="Z37" s="12" t="str">
        <x:v>Scenario 036</x:v>
      </x:c>
    </x:row>
    <x:row r="38" ht="140" customHeight="1">
      <x:c r="A38" s="13" t="s">
        <x:v>39</x:v>
      </x:c>
      <x:c r="B38" s="13" t="s">
        <x:v>7</x:v>
      </x:c>
      <x:c r="C38" s="13" t="s">
        <x:v>7</x:v>
      </x:c>
      <x:c r="D38" s="13" t="str">
        <x:v>Synthetic scenario 037. Elements: Windows + Doors + Curtain Wall. Systems: AWS 75.SI+ / FWS 50 / AD UP 75. Complexity: Medium; profile: Standard; wind: Low; region: Industrial. Value GBP 45,000; fabrication 936 h. Physical dimensions and structural capacity are not calculated.</x:v>
      </x:c>
      <x:c r="E38" s="13" t="str">
        <x:v>All added conditions are synthetic assumptions. Statuses follow the Protocol; no historical outcomes or independent expert validation.</x:v>
      </x:c>
      <x:c r="F38" s="20" t="str">
        <x:f>IF(R38=2,"Critical",IF(R38=1,"Clarification","Acceptable"))</x:f>
        <x:v>Acceptable</x:v>
      </x:c>
      <x:c r="G38" s="20" t="str">
        <x:f>IF(W38&lt;0,"Critical",IF(W38&lt;'Protocol'!$B$25,"Clarification","Acceptable"))</x:f>
        <x:v>Acceptable</x:v>
      </x:c>
      <x:c r="H38" s="20" t="str">
        <x:f>IF(X38&lt;'Protocol'!$B$23,"Critical",IF(X38&lt;'Protocol'!$B$24,"Clarification","Acceptable"))</x:f>
        <x:v>Acceptable</x:v>
      </x:c>
      <x:c r="I38" s="20" t="str">
        <x:f>IF(T38&gt;=2,"Critical",IF(T38=1,"Clarification","Acceptable"))</x:f>
        <x:v>Acceptable</x:v>
      </x:c>
      <x:c r="J38" s="20" t="str">
        <x:f t="shared" si="2">IF(COUNTIF(F38:I38,"Critical")&gt;0,"High",IF(COUNTIF(F38:I38,"Clarification")&gt;0,"Medium","Low"))</x:f>
        <x:v>Low</x:v>
      </x:c>
      <x:c r="K38" s="20" t="str">
        <x:f>"Technical: "&amp;S38&amp;" Schedule: readiness "&amp;V38&amp;" weeks, deadline "&amp;P38&amp;" weeks, buffer "&amp;W38&amp;" weeks ("&amp;G38&amp;"). Commercial: gross margin "&amp;TEXT(X38,"0.0%")&amp;" ("&amp;H38&amp;"). Documentation: "&amp;U38&amp;" Result: "&amp;J38&amp;IF(J38="High"," because at least one domain is Critical.",IF(J38="Medium"," because clarification is required and no domain is Critical."," because all four domains are Acceptable."))</x:f>
        <x:v>Technical: Model assumes the selected configuration fulfils the stated requirements; no unresolved technical issue. Schedule: readiness 14 weeks, deadline 19 weeks, buffer 5 weeks (Acceptable). Commercial: gross margin 26.0% (Acceptable). Documentation: Model assumes drawings, installation scope and performance requirements are supplied. Result: Low because all four domains are Acceptable.</x:v>
      </x:c>
      <x:c r="L38" s="20" t="str">
        <x:f>IF(F38="Critical","Revise profile or connection. ",IF(F38="Clarification","Confirm connection and profile compatibility. ",""))&amp;IF(G38="Critical","Revise deadline or procurement/production plan. ",IF(G38="Clarification","Confirm capacity and protect the schedule buffer. ",""))&amp;IF(H38="Critical","Revise price or costs. ",IF(H38="Clarification","Confirm cost allowances and margin. ",""))&amp;IF(I38="Critical","Obtain drawings and performance requirements. ",IF(I38="Clarification","Confirm installation scope. ",""))&amp;IF(J38="Low","Proceed to routine tender checks.","")</x:f>
        <x:v>Proceed to routine tender checks.</x:v>
      </x:c>
      <x:c r="M38" s="20" t="str">
        <x:f t="shared" si="3">IF(J38=B38,"Matches legacy label","Different from legacy label")</x:f>
        <x:v>Matches legacy label</x:v>
      </x:c>
      <x:c r="N38" s="19" t="n">
        <x:v>10</x:v>
      </x:c>
      <x:c r="O38" s="19" t="n">
        <x:v>240</x:v>
      </x:c>
      <x:c r="P38" s="19" t="n">
        <x:v>19</x:v>
      </x:c>
      <x:c r="Q38" s="23" t="n">
        <x:v>33300</x:v>
      </x:c>
      <x:c r="R38" s="19" t="n">
        <x:v>0</x:v>
      </x:c>
      <x:c r="S38" s="21" t="str">
        <x:f>IF(R38=2,"Model assumes the specified connection cannot fit the selected profile geometry; redesign or profile substitution is required.",IF(R38=1,"Model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38" s="19" t="n">
        <x:v>0</x:v>
      </x:c>
      <x:c r="U38" s="21" t="str">
        <x:f>IF(T38&gt;=2,"Model assumes both final drawings and performance requirements are absent, preventing confirmation of scope and price.",IF(T38=1,"Model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8" s="12" t="n">
        <x:f>N38+ROUNDUP('Original data'!F38/O38,0)</x:f>
        <x:v>14</x:v>
      </x:c>
      <x:c r="W38" s="12" t="n">
        <x:f>P38-V38</x:f>
        <x:v>5</x:v>
      </x:c>
      <x:c r="X38" s="22" t="n">
        <x:f>ROUND(('Original data'!E38-Q38)/'Original data'!E38,10)</x:f>
        <x:v>0.26</x:v>
      </x:c>
      <x:c r="Y38" s="12" t="str">
        <x:v>Synthetic domain-informed scenario; seed 20261002</x:v>
      </x:c>
      <x:c r="Z38" s="12" t="str">
        <x:v>Scenario 037</x:v>
      </x:c>
    </x:row>
    <x:row r="39" ht="140" customHeight="1">
      <x:c r="A39" s="13" t="s">
        <x:v>40</x:v>
      </x:c>
      <x:c r="B39" s="13" t="s">
        <x:v>3</x:v>
      </x:c>
      <x:c r="C39" s="13" t="s">
        <x:v>1</x:v>
      </x:c>
      <x:c r="D39" s="13" t="str">
        <x:v>Synthetic scenario 038. Elements: Windows + Doors + Curtain Wall. Systems: AWS 75.SI+ / FWS 50 / AD UP 75. Complexity: Medium; profile: Non-standard; wind: Low; region: Inland. Value GBP 86,000; fabrication 1949 h. Physical dimensions and structural capacity are not calculated.</x:v>
      </x:c>
      <x:c r="E39" s="13" t="str">
        <x:v>All added conditions are synthetic assumptions. Statuses follow the Protocol; no historical outcomes or independent expert validation.</x:v>
      </x:c>
      <x:c r="F39" s="20" t="str">
        <x:f>IF(R39=2,"Critical",IF(R39=1,"Clarification","Acceptable"))</x:f>
        <x:v>Clarification</x:v>
      </x:c>
      <x:c r="G39" s="20" t="str">
        <x:f>IF(W39&lt;0,"Critical",IF(W39&lt;'Protocol'!$B$25,"Clarification","Acceptable"))</x:f>
        <x:v>Acceptable</x:v>
      </x:c>
      <x:c r="H39" s="20" t="str">
        <x:f>IF(X39&lt;'Protocol'!$B$23,"Critical",IF(X39&lt;'Protocol'!$B$24,"Clarification","Acceptable"))</x:f>
        <x:v>Acceptable</x:v>
      </x:c>
      <x:c r="I39" s="20" t="str">
        <x:f>IF(T39&gt;=2,"Critical",IF(T39=1,"Clarification","Acceptable"))</x:f>
        <x:v>Acceptable</x:v>
      </x:c>
      <x:c r="J39" s="20" t="str">
        <x:f t="shared" si="2">IF(COUNTIF(F39:I39,"Critical")&gt;0,"High",IF(COUNTIF(F39:I39,"Clarification")&gt;0,"Medium","Low"))</x:f>
        <x:v>Medium</x:v>
      </x:c>
      <x:c r="K39" s="20" t="str">
        <x:f>"Technical: "&amp;S39&amp;" Schedule: readiness "&amp;V39&amp;" weeks, deadline "&amp;P39&amp;" weeks, buffer "&amp;W39&amp;" weeks ("&amp;G39&amp;"). Commercial: gross margin "&amp;TEXT(X39,"0.0%")&amp;" ("&amp;H39&amp;"). Documentation: "&amp;U39&amp;" Result: "&amp;J39&amp;IF(J39="High"," because at least one domain is Critical.",IF(J39="Medium","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21 weeks, deadline 28 weeks, buffer 7 weeks (Acceptable). Commercial: gross margin 26.0% (Acceptable). Documentation: Model assumes drawings, installation scope and performance requirements are supplied. Result: Medium because clarification is required and no domain is Critical.</x:v>
      </x:c>
      <x:c r="L39" s="20" t="str">
        <x:f>IF(F39="Critical","Revise profile or connection. ",IF(F39="Clarification","Confirm connection and profile compatibility. ",""))&amp;IF(G39="Critical","Revise deadline or procurement/production plan. ",IF(G39="Clarification","Confirm capacity and protect the schedule buffer. ",""))&amp;IF(H39="Critical","Revise price or costs. ",IF(H39="Clarification","Confirm cost allowances and margin. ",""))&amp;IF(I39="Critical","Obtain drawings and performance requirements. ",IF(I39="Clarification","Confirm installation scope. ",""))&amp;IF(J39="Low","Proceed to routine tender checks.","")</x:f>
        <x:v>Confirm connection and profile compatibility. </x:v>
      </x:c>
      <x:c r="M39" s="20" t="str">
        <x:f t="shared" si="3">IF(J39=B39,"Matches legacy label","Different from legacy label")</x:f>
        <x:v>Different from legacy label</x:v>
      </x:c>
      <x:c r="N39" s="19" t="n">
        <x:v>12</x:v>
      </x:c>
      <x:c r="O39" s="19" t="n">
        <x:v>240</x:v>
      </x:c>
      <x:c r="P39" s="19" t="n">
        <x:v>28</x:v>
      </x:c>
      <x:c r="Q39" s="23" t="n">
        <x:v>63640</x:v>
      </x:c>
      <x:c r="R39" s="19" t="n">
        <x:v>1</x:v>
      </x:c>
      <x:c r="S39" s="21" t="str">
        <x:f>IF(R39=2,"Model assumes the specified connection cannot fit the selected profile geometry; redesign or profile substitution is required.",IF(R39=1,"Model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39" s="19" t="n">
        <x:v>0</x:v>
      </x:c>
      <x:c r="U39" s="21" t="str">
        <x:f>IF(T39&gt;=2,"Model assumes both final drawings and performance requirements are absent, preventing confirmation of scope and price.",IF(T39=1,"Model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39" s="12" t="n">
        <x:f>N39+ROUNDUP('Original data'!F39/O39,0)</x:f>
        <x:v>21</x:v>
      </x:c>
      <x:c r="W39" s="12" t="n">
        <x:f>P39-V39</x:f>
        <x:v>7</x:v>
      </x:c>
      <x:c r="X39" s="22" t="n">
        <x:f>ROUND(('Original data'!E39-Q39)/'Original data'!E39,10)</x:f>
        <x:v>0.26</x:v>
      </x:c>
      <x:c r="Y39" s="12" t="str">
        <x:v>Synthetic domain-informed scenario; seed 20261002</x:v>
      </x:c>
      <x:c r="Z39" s="12" t="str">
        <x:v>Scenario 038</x:v>
      </x:c>
    </x:row>
    <x:row r="40" ht="140" customHeight="1">
      <x:c r="A40" s="13" t="s">
        <x:v>41</x:v>
      </x:c>
      <x:c r="B40" s="13" t="s">
        <x:v>1</x:v>
      </x:c>
      <x:c r="C40" s="13" t="s">
        <x:v>1</x:v>
      </x:c>
      <x:c r="D40" s="13" t="str">
        <x:v>Synthetic scenario 039. Elements: Curtain Wall only. Systems: FWS 50. Complexity: Low; profile: Standard; wind: High; region: Industrial. Value GBP 284,000; fabrication 3362 h. Physical dimensions and structural capacity are not calculated.</x:v>
      </x:c>
      <x:c r="E40" s="13" t="str">
        <x:v>All added conditions are synthetic assumptions. Statuses follow the Protocol; no historical outcomes or independent expert validation.</x:v>
      </x:c>
      <x:c r="F40" s="20" t="str">
        <x:f>IF(R40=2,"Critical",IF(R40=1,"Clarification","Acceptable"))</x:f>
        <x:v>Clarification</x:v>
      </x:c>
      <x:c r="G40" s="20" t="str">
        <x:f>IF(W40&lt;0,"Critical",IF(W40&lt;'Protocol'!$B$25,"Clarification","Acceptable"))</x:f>
        <x:v>Acceptable</x:v>
      </x:c>
      <x:c r="H40" s="20" t="str">
        <x:f>IF(X40&lt;'Protocol'!$B$23,"Critical",IF(X40&lt;'Protocol'!$B$24,"Clarification","Acceptable"))</x:f>
        <x:v>Acceptable</x:v>
      </x:c>
      <x:c r="I40" s="20" t="str">
        <x:f>IF(T40&gt;=2,"Critical",IF(T40=1,"Clarification","Acceptable"))</x:f>
        <x:v>Critical</x:v>
      </x:c>
      <x:c r="J40" s="20" t="str">
        <x:f t="shared" si="2">IF(COUNTIF(F40:I40,"Critical")&gt;0,"High",IF(COUNTIF(F40:I40,"Clarification")&gt;0,"Medium","Low"))</x:f>
        <x:v>High</x:v>
      </x:c>
      <x:c r="K40" s="20" t="str">
        <x:f>"Technical: "&amp;S40&amp;" Schedule: readiness "&amp;V40&amp;" weeks, deadline "&amp;P40&amp;" weeks, buffer "&amp;W40&amp;" weeks ("&amp;G40&amp;"). Commercial: gross margin "&amp;TEXT(X40,"0.0%")&amp;" ("&amp;H40&amp;"). Documentation: "&amp;U40&amp;" Result: "&amp;J40&amp;IF(J40="High"," because at least one domain is Critical.",IF(J40="Medium","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21 weeks, deadline 24 weeks, buffer 3 weeks (Acceptable). Commercial: gross margin 18.0% (Acceptable). Documentation: Model assumes both final drawings and performance requirements are absent, preventing confirmation of scope and price. Result: High because at least one domain is Critical.</x:v>
      </x:c>
      <x:c r="L40" s="20" t="str">
        <x:f>IF(F40="Critical","Revise profile or connection. ",IF(F40="Clarification","Confirm connection and profile compatibility. ",""))&amp;IF(G40="Critical","Revise deadline or procurement/production plan. ",IF(G40="Clarification","Confirm capacity and protect the schedule buffer. ",""))&amp;IF(H40="Critical","Revise price or costs. ",IF(H40="Clarification","Confirm cost allowances and margin. ",""))&amp;IF(I40="Critical","Obtain drawings and performance requirements. ",IF(I40="Clarification","Confirm installation scope. ",""))&amp;IF(J40="Low","Proceed to routine tender checks.","")</x:f>
        <x:v>Confirm connection and profile compatibility. Obtain drawings and performance requirements. </x:v>
      </x:c>
      <x:c r="M40" s="20" t="str">
        <x:f t="shared" si="3">IF(J40=B40,"Matches legacy label","Different from legacy label")</x:f>
        <x:v>Different from legacy label</x:v>
      </x:c>
      <x:c r="N40" s="19" t="n">
        <x:v>10</x:v>
      </x:c>
      <x:c r="O40" s="19" t="n">
        <x:v>320</x:v>
      </x:c>
      <x:c r="P40" s="19" t="n">
        <x:v>24</x:v>
      </x:c>
      <x:c r="Q40" s="23" t="n">
        <x:v>232880</x:v>
      </x:c>
      <x:c r="R40" s="19" t="n">
        <x:v>1</x:v>
      </x:c>
      <x:c r="S40" s="21" t="str">
        <x:f>IF(R40=2,"Model assumes the specified connection cannot fit the selected profile geometry; redesign or profile substitution is required.",IF(R40=1,"Model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40" s="19" t="n">
        <x:v>2</x:v>
      </x:c>
      <x:c r="U40" s="21" t="str">
        <x:f>IF(T40&gt;=2,"Model assumes both final drawings and performance requirements are absent, preventing confirmation of scope and price.",IF(T40=1,"Model assumes the installation scope requires written confirmation; drawings and performance requirements are supplied.","Model assumes drawings, installation scope and performance requirements are supplied."))</x:f>
        <x:v>Model assumes both final drawings and performance requirements are absent, preventing confirmation of scope and price.</x:v>
      </x:c>
      <x:c r="V40" s="12" t="n">
        <x:f>N40+ROUNDUP('Original data'!F40/O40,0)</x:f>
        <x:v>21</x:v>
      </x:c>
      <x:c r="W40" s="12" t="n">
        <x:f>P40-V40</x:f>
        <x:v>3</x:v>
      </x:c>
      <x:c r="X40" s="22" t="n">
        <x:f>ROUND(('Original data'!E40-Q40)/'Original data'!E40,10)</x:f>
        <x:v>0.18</x:v>
      </x:c>
      <x:c r="Y40" s="12" t="str">
        <x:v>Synthetic domain-informed scenario; seed 20261002</x:v>
      </x:c>
      <x:c r="Z40" s="12" t="str">
        <x:v>Scenario 039</x:v>
      </x:c>
    </x:row>
    <x:row r="41" ht="140" customHeight="1">
      <x:c r="A41" s="13" t="s">
        <x:v>42</x:v>
      </x:c>
      <x:c r="B41" s="13" t="s">
        <x:v>3</x:v>
      </x:c>
      <x:c r="C41" s="13" t="s">
        <x:v>3</x:v>
      </x:c>
      <x:c r="D41" s="13" t="str">
        <x:v>Synthetic scenario 040. Elements: Windows + Doors (High Insulation). Systems: AWS 75.SI+ / ASE 80.HI. Complexity: High; profile: Non-standard; wind: High; region: Inland. Value GBP 381,000; fabrication 711 h. Physical dimensions and structural capacity are not calculated.</x:v>
      </x:c>
      <x:c r="E41" s="13" t="str">
        <x:v>All added conditions are synthetic assumptions. Statuses follow the Protocol; no historical outcomes or independent expert validation.</x:v>
      </x:c>
      <x:c r="F41" s="20" t="str">
        <x:f>IF(R41=2,"Critical",IF(R41=1,"Clarification","Acceptable"))</x:f>
        <x:v>Acceptable</x:v>
      </x:c>
      <x:c r="G41" s="20" t="str">
        <x:f>IF(W41&lt;0,"Critical",IF(W41&lt;'Protocol'!$B$25,"Clarification","Acceptable"))</x:f>
        <x:v>Acceptable</x:v>
      </x:c>
      <x:c r="H41" s="20" t="str">
        <x:f>IF(X41&lt;'Protocol'!$B$23,"Critical",IF(X41&lt;'Protocol'!$B$24,"Clarification","Acceptable"))</x:f>
        <x:v>Acceptable</x:v>
      </x:c>
      <x:c r="I41" s="20" t="str">
        <x:f>IF(T41&gt;=2,"Critical",IF(T41=1,"Clarification","Acceptable"))</x:f>
        <x:v>Clarification</x:v>
      </x:c>
      <x:c r="J41" s="20" t="str">
        <x:f t="shared" si="2">IF(COUNTIF(F41:I41,"Critical")&gt;0,"High",IF(COUNTIF(F41:I41,"Clarification")&gt;0,"Medium","Low"))</x:f>
        <x:v>Medium</x:v>
      </x:c>
      <x:c r="K41" s="20" t="str">
        <x:f>"Technical: "&amp;S41&amp;" Schedule: readiness "&amp;V41&amp;" weeks, deadline "&amp;P41&amp;" weeks, buffer "&amp;W41&amp;" weeks ("&amp;G41&amp;"). Commercial: gross margin "&amp;TEXT(X41,"0.0%")&amp;" ("&amp;H41&amp;"). Documentation: "&amp;U41&amp;" Result: "&amp;J41&amp;IF(J41="High"," because at least one domain is Critical.",IF(J41="Medium"," because clarification is required and no domain is Critical."," because all four domains are Acceptable."))</x:f>
        <x:v>Technical: Model assumes the selected configuration fulfils the stated requirements; no unresolved technical issue. Schedule: readiness 17 weeks, deadline 22 weeks, buffer 5 weeks (Acceptable). Commercial: gross margin 22.0% (Acceptable). Documentation: Model assumes the installation scope requires written confirmation; drawings and performance requirements are supplied. Result: Medium because clarification is required and no domain is Critical.</x:v>
      </x:c>
      <x:c r="L41" s="20" t="str">
        <x:f>IF(F41="Critical","Revise profile or connection. ",IF(F41="Clarification","Confirm connection and profile compatibility. ",""))&amp;IF(G41="Critical","Revise deadline or procurement/production plan. ",IF(G41="Clarification","Confirm capacity and protect the schedule buffer. ",""))&amp;IF(H41="Critical","Revise price or costs. ",IF(H41="Clarification","Confirm cost allowances and margin. ",""))&amp;IF(I41="Critical","Obtain drawings and performance requirements. ",IF(I41="Clarification","Confirm installation scope. ",""))&amp;IF(J41="Low","Proceed to routine tender checks.","")</x:f>
        <x:v>Confirm installation scope. </x:v>
      </x:c>
      <x:c r="M41" s="20" t="str">
        <x:f t="shared" si="3">IF(J41=B41,"Matches legacy label","Different from legacy label")</x:f>
        <x:v>Different from legacy label</x:v>
      </x:c>
      <x:c r="N41" s="19" t="n">
        <x:v>12</x:v>
      </x:c>
      <x:c r="O41" s="19" t="n">
        <x:v>160</x:v>
      </x:c>
      <x:c r="P41" s="19" t="n">
        <x:v>22</x:v>
      </x:c>
      <x:c r="Q41" s="23" t="n">
        <x:v>297180</x:v>
      </x:c>
      <x:c r="R41" s="19" t="n">
        <x:v>0</x:v>
      </x:c>
      <x:c r="S41" s="21" t="str">
        <x:f>IF(R41=2,"Model assumes the specified connection cannot fit the selected profile geometry; redesign or profile substitution is required.",IF(R41=1,"Model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41" s="19" t="n">
        <x:v>1</x:v>
      </x:c>
      <x:c r="U41" s="21" t="str">
        <x:f>IF(T41&gt;=2,"Model assumes both final drawings and performance requirements are absent, preventing confirmation of scope and price.",IF(T41=1,"Model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41" s="12" t="n">
        <x:f>N41+ROUNDUP('Original data'!F41/O41,0)</x:f>
        <x:v>17</x:v>
      </x:c>
      <x:c r="W41" s="12" t="n">
        <x:f>P41-V41</x:f>
        <x:v>5</x:v>
      </x:c>
      <x:c r="X41" s="22" t="n">
        <x:f>ROUND(('Original data'!E41-Q41)/'Original data'!E41,10)</x:f>
        <x:v>0.22</x:v>
      </x:c>
      <x:c r="Y41" s="12" t="str">
        <x:v>Synthetic domain-informed scenario; seed 20261002</x:v>
      </x:c>
      <x:c r="Z41" s="12" t="str">
        <x:v>Scenario 040</x:v>
      </x:c>
    </x:row>
    <x:row r="42" ht="140" customHeight="1">
      <x:c r="A42" s="13" t="s">
        <x:v>43</x:v>
      </x:c>
      <x:c r="B42" s="13" t="s">
        <x:v>1</x:v>
      </x:c>
      <x:c r="C42" s="13" t="s">
        <x:v>1</x:v>
      </x:c>
      <x:c r="D42" s="13" t="str">
        <x:v>Synthetic scenario 041. Elements: Windows + Doors. Systems: AWS 75.SI+ / AD UP 75. Complexity: Medium; profile: Standard; wind: High; region: Mountain. Value GBP 179,000; fabrication 1382 h. Physical dimensions and structural capacity are not calculated.</x:v>
      </x:c>
      <x:c r="E42" s="13" t="str">
        <x:v>All added conditions are synthetic assumptions. Statuses follow the Protocol; no historical outcomes or independent expert validation.</x:v>
      </x:c>
      <x:c r="F42" s="20" t="str">
        <x:f>IF(R42=2,"Critical",IF(R42=1,"Clarification","Acceptable"))</x:f>
        <x:v>Acceptable</x:v>
      </x:c>
      <x:c r="G42" s="20" t="str">
        <x:f>IF(W42&lt;0,"Critical",IF(W42&lt;'Protocol'!$B$25,"Clarification","Acceptable"))</x:f>
        <x:v>Acceptable</x:v>
      </x:c>
      <x:c r="H42" s="20" t="str">
        <x:f>IF(X42&lt;'Protocol'!$B$23,"Critical",IF(X42&lt;'Protocol'!$B$24,"Clarification","Acceptable"))</x:f>
        <x:v>Acceptable</x:v>
      </x:c>
      <x:c r="I42" s="20" t="str">
        <x:f>IF(T42&gt;=2,"Critical",IF(T42=1,"Clarification","Acceptable"))</x:f>
        <x:v>Acceptable</x:v>
      </x:c>
      <x:c r="J42" s="20" t="str">
        <x:f t="shared" si="2">IF(COUNTIF(F42:I42,"Critical")&gt;0,"High",IF(COUNTIF(F42:I42,"Clarification")&gt;0,"Medium","Low"))</x:f>
        <x:v>Low</x:v>
      </x:c>
      <x:c r="K42" s="20" t="str">
        <x:f>"Technical: "&amp;S42&amp;" Schedule: readiness "&amp;V42&amp;" weeks, deadline "&amp;P42&amp;" weeks, buffer "&amp;W42&amp;" weeks ("&amp;G42&amp;"). Commercial: gross margin "&amp;TEXT(X42,"0.0%")&amp;" ("&amp;H42&amp;"). Documentation: "&amp;U42&amp;" Result: "&amp;J42&amp;IF(J42="High"," because at least one domain is Critical.",IF(J42="Medium"," because clarification is required and no domain is Critical."," because all four domains are Acceptable."))</x:f>
        <x:v>Technical: Model assumes the selected configuration fulfils the stated requirements; no unresolved technical issue. Schedule: readiness 16 weeks, deadline 23 weeks, buffer 7 weeks (Acceptable). Commercial: gross margin 26.0% (Acceptable). Documentation: Model assumes drawings, installation scope and performance requirements are supplied. Result: Low because all four domains are Acceptable.</x:v>
      </x:c>
      <x:c r="L42" s="20" t="str">
        <x:f>IF(F42="Critical","Revise profile or connection. ",IF(F42="Clarification","Confirm connection and profile compatibility. ",""))&amp;IF(G42="Critical","Revise deadline or procurement/production plan. ",IF(G42="Clarification","Confirm capacity and protect the schedule buffer. ",""))&amp;IF(H42="Critical","Revise price or costs. ",IF(H42="Clarification","Confirm cost allowances and margin. ",""))&amp;IF(I42="Critical","Obtain drawings and performance requirements. ",IF(I42="Clarification","Confirm installation scope. ",""))&amp;IF(J42="Low","Proceed to routine tender checks.","")</x:f>
        <x:v>Proceed to routine tender checks.</x:v>
      </x:c>
      <x:c r="M42" s="20" t="str">
        <x:f t="shared" si="3">IF(J42=B42,"Matches legacy label","Different from legacy label")</x:f>
        <x:v>Different from legacy label</x:v>
      </x:c>
      <x:c r="N42" s="19" t="n">
        <x:v>10</x:v>
      </x:c>
      <x:c r="O42" s="19" t="n">
        <x:v>240</x:v>
      </x:c>
      <x:c r="P42" s="19" t="n">
        <x:v>23</x:v>
      </x:c>
      <x:c r="Q42" s="23" t="n">
        <x:v>132460</x:v>
      </x:c>
      <x:c r="R42" s="19" t="n">
        <x:v>0</x:v>
      </x:c>
      <x:c r="S42" s="21" t="str">
        <x:f>IF(R42=2,"Model assumes the specified connection cannot fit the selected profile geometry; redesign or profile substitution is required.",IF(R42=1,"Model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42" s="19" t="n">
        <x:v>0</x:v>
      </x:c>
      <x:c r="U42" s="21" t="str">
        <x:f>IF(T42&gt;=2,"Model assumes both final drawings and performance requirements are absent, preventing confirmation of scope and price.",IF(T42=1,"Model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42" s="12" t="n">
        <x:f>N42+ROUNDUP('Original data'!F42/O42,0)</x:f>
        <x:v>16</x:v>
      </x:c>
      <x:c r="W42" s="12" t="n">
        <x:f>P42-V42</x:f>
        <x:v>7</x:v>
      </x:c>
      <x:c r="X42" s="22" t="n">
        <x:f>ROUND(('Original data'!E42-Q42)/'Original data'!E42,10)</x:f>
        <x:v>0.26</x:v>
      </x:c>
      <x:c r="Y42" s="12" t="str">
        <x:v>Synthetic domain-informed scenario; seed 20261002</x:v>
      </x:c>
      <x:c r="Z42" s="12" t="str">
        <x:v>Scenario 041</x:v>
      </x:c>
    </x:row>
    <x:row r="43" ht="140" customHeight="1">
      <x:c r="A43" s="13" t="s">
        <x:v>44</x:v>
      </x:c>
      <x:c r="B43" s="13" t="s">
        <x:v>3</x:v>
      </x:c>
      <x:c r="C43" s="13" t="s">
        <x:v>1</x:v>
      </x:c>
      <x:c r="D43" s="13" t="str">
        <x:v>Synthetic scenario 042. Elements: Curtain Wall only. Systems: FWS 60. Complexity: Medium; profile: Standard; wind: High; region: Coastal. Value GBP 57,000; fabrication 1814 h. Physical dimensions and structural capacity are not calculated.</x:v>
      </x:c>
      <x:c r="E43" s="13" t="str">
        <x:v>All added conditions are synthetic assumptions. Statuses follow the Protocol; no historical outcomes or independent expert validation.</x:v>
      </x:c>
      <x:c r="F43" s="20" t="str">
        <x:f>IF(R43=2,"Critical",IF(R43=1,"Clarification","Acceptable"))</x:f>
        <x:v>Clarification</x:v>
      </x:c>
      <x:c r="G43" s="20" t="str">
        <x:f>IF(W43&lt;0,"Critical",IF(W43&lt;'Protocol'!$B$25,"Clarification","Acceptable"))</x:f>
        <x:v>Critical</x:v>
      </x:c>
      <x:c r="H43" s="20" t="str">
        <x:f>IF(X43&lt;'Protocol'!$B$23,"Critical",IF(X43&lt;'Protocol'!$B$24,"Clarification","Acceptable"))</x:f>
        <x:v>Acceptable</x:v>
      </x:c>
      <x:c r="I43" s="20" t="str">
        <x:f>IF(T43&gt;=2,"Critical",IF(T43=1,"Clarification","Acceptable"))</x:f>
        <x:v>Clarification</x:v>
      </x:c>
      <x:c r="J43" s="20" t="str">
        <x:f t="shared" si="2">IF(COUNTIF(F43:I43,"Critical")&gt;0,"High",IF(COUNTIF(F43:I43,"Clarification")&gt;0,"Medium","Low"))</x:f>
        <x:v>High</x:v>
      </x:c>
      <x:c r="K43" s="20" t="str">
        <x:f>"Technical: "&amp;S43&amp;" Schedule: readiness "&amp;V43&amp;" weeks, deadline "&amp;P43&amp;" weeks, buffer "&amp;W43&amp;" weeks ("&amp;G43&amp;"). Commercial: gross margin "&amp;TEXT(X43,"0.0%")&amp;" ("&amp;H43&amp;"). Documentation: "&amp;U43&amp;" Result: "&amp;J43&amp;IF(J43="High"," because at least one domain is Critical.",IF(J43="Medium","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16 weeks, deadline 13 weeks, buffer -3 weeks (Critical). Commercial: gross margin 18.0% (Acceptable). Documentation: Model assumes the installation scope requires written confirmation; drawings and performance requirements are supplied. Result: High because at least one domain is Critical.</x:v>
      </x:c>
      <x:c r="L43" s="20" t="str">
        <x:f>IF(F43="Critical","Revise profile or connection. ",IF(F43="Clarification","Confirm connection and profile compatibility. ",""))&amp;IF(G43="Critical","Revise deadline or procurement/production plan. ",IF(G43="Clarification","Confirm capacity and protect the schedule buffer. ",""))&amp;IF(H43="Critical","Revise price or costs. ",IF(H43="Clarification","Confirm cost allowances and margin. ",""))&amp;IF(I43="Critical","Obtain drawings and performance requirements. ",IF(I43="Clarification","Confirm installation scope. ",""))&amp;IF(J43="Low","Proceed to routine tender checks.","")</x:f>
        <x:v>Confirm connection and profile compatibility. Revise deadline or procurement/production plan. Confirm installation scope. </x:v>
      </x:c>
      <x:c r="M43" s="20" t="str">
        <x:f t="shared" si="3">IF(J43=B43,"Matches legacy label","Different from legacy label")</x:f>
        <x:v>Matches legacy label</x:v>
      </x:c>
      <x:c r="N43" s="19" t="n">
        <x:v>10</x:v>
      </x:c>
      <x:c r="O43" s="19" t="n">
        <x:v>320</x:v>
      </x:c>
      <x:c r="P43" s="19" t="n">
        <x:v>13</x:v>
      </x:c>
      <x:c r="Q43" s="23" t="n">
        <x:v>46740</x:v>
      </x:c>
      <x:c r="R43" s="19" t="n">
        <x:v>1</x:v>
      </x:c>
      <x:c r="S43" s="21" t="str">
        <x:f>IF(R43=2,"Model assumes the specified connection cannot fit the selected profile geometry; redesign or profile substitution is required.",IF(R43=1,"Model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43" s="19" t="n">
        <x:v>1</x:v>
      </x:c>
      <x:c r="U43" s="21" t="str">
        <x:f>IF(T43&gt;=2,"Model assumes both final drawings and performance requirements are absent, preventing confirmation of scope and price.",IF(T43=1,"Model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43" s="12" t="n">
        <x:f>N43+ROUNDUP('Original data'!F43/O43,0)</x:f>
        <x:v>16</x:v>
      </x:c>
      <x:c r="W43" s="12" t="n">
        <x:f>P43-V43</x:f>
        <x:v>-3</x:v>
      </x:c>
      <x:c r="X43" s="22" t="n">
        <x:f>ROUND(('Original data'!E43-Q43)/'Original data'!E43,10)</x:f>
        <x:v>0.18</x:v>
      </x:c>
      <x:c r="Y43" s="12" t="str">
        <x:v>Synthetic domain-informed scenario; seed 20261002</x:v>
      </x:c>
      <x:c r="Z43" s="12" t="str">
        <x:v>Scenario 042</x:v>
      </x:c>
    </x:row>
    <x:row r="44" ht="140" customHeight="1">
      <x:c r="A44" s="13" t="s">
        <x:v>45</x:v>
      </x:c>
      <x:c r="B44" s="13" t="s">
        <x:v>7</x:v>
      </x:c>
      <x:c r="C44" s="13" t="s">
        <x:v>7</x:v>
      </x:c>
      <x:c r="D44" s="13" t="str">
        <x:v>Synthetic scenario 043. Elements: Curtain Wall only. Systems: FWS 60. Complexity: Low; profile: Standard; wind: Low; region: Inland. Value GBP 222,000; fabrication 3038 h. Physical dimensions and structural capacity are not calculated.</x:v>
      </x:c>
      <x:c r="E44" s="13" t="str">
        <x:v>All added conditions are synthetic assumptions. Statuses follow the Protocol; no historical outcomes or independent expert validation.</x:v>
      </x:c>
      <x:c r="F44" s="20" t="str">
        <x:f>IF(R44=2,"Critical",IF(R44=1,"Clarification","Acceptable"))</x:f>
        <x:v>Acceptable</x:v>
      </x:c>
      <x:c r="G44" s="20" t="str">
        <x:f>IF(W44&lt;0,"Critical",IF(W44&lt;'Protocol'!$B$25,"Clarification","Acceptable"))</x:f>
        <x:v>Clarification</x:v>
      </x:c>
      <x:c r="H44" s="20" t="str">
        <x:f>IF(X44&lt;'Protocol'!$B$23,"Critical",IF(X44&lt;'Protocol'!$B$24,"Clarification","Acceptable"))</x:f>
        <x:v>Acceptable</x:v>
      </x:c>
      <x:c r="I44" s="20" t="str">
        <x:f>IF(T44&gt;=2,"Critical",IF(T44=1,"Clarification","Acceptable"))</x:f>
        <x:v>Acceptable</x:v>
      </x:c>
      <x:c r="J44" s="20" t="str">
        <x:f t="shared" si="2">IF(COUNTIF(F44:I44,"Critical")&gt;0,"High",IF(COUNTIF(F44:I44,"Clarification")&gt;0,"Medium","Low"))</x:f>
        <x:v>Medium</x:v>
      </x:c>
      <x:c r="K44" s="20" t="str">
        <x:f>"Technical: "&amp;S44&amp;" Schedule: readiness "&amp;V44&amp;" weeks, deadline "&amp;P44&amp;" weeks, buffer "&amp;W44&amp;" weeks ("&amp;G44&amp;"). Commercial: gross margin "&amp;TEXT(X44,"0.0%")&amp;" ("&amp;H44&amp;"). Documentation: "&amp;U44&amp;" Result: "&amp;J44&amp;IF(J44="High"," because at least one domain is Critical.",IF(J44="Medium"," because clarification is required and no domain is Critical."," because all four domains are Acceptable."))</x:f>
        <x:v>Technical: Model assumes the selected configuration fulfils the stated requirements; no unresolved technical issue. Schedule: readiness 23 weeks, deadline 23 weeks, buffer 0 weeks (Clarification). Commercial: gross margin 22.0% (Acceptable). Documentation: Model assumes drawings, installation scope and performance requirements are supplied. Result: Medium because clarification is required and no domain is Critical.</x:v>
      </x:c>
      <x:c r="L44" s="20" t="str">
        <x:f>IF(F44="Critical","Revise profile or connection. ",IF(F44="Clarification","Confirm connection and profile compatibility. ",""))&amp;IF(G44="Critical","Revise deadline or procurement/production plan. ",IF(G44="Clarification","Confirm capacity and protect the schedule buffer. ",""))&amp;IF(H44="Critical","Revise price or costs. ",IF(H44="Clarification","Confirm cost allowances and margin. ",""))&amp;IF(I44="Critical","Obtain drawings and performance requirements. ",IF(I44="Clarification","Confirm installation scope. ",""))&amp;IF(J44="Low","Proceed to routine tender checks.","")</x:f>
        <x:v>Confirm capacity and protect the schedule buffer. </x:v>
      </x:c>
      <x:c r="M44" s="20" t="str">
        <x:f t="shared" si="3">IF(J44=B44,"Matches legacy label","Different from legacy label")</x:f>
        <x:v>Different from legacy label</x:v>
      </x:c>
      <x:c r="N44" s="19" t="n">
        <x:v>10</x:v>
      </x:c>
      <x:c r="O44" s="19" t="n">
        <x:v>240</x:v>
      </x:c>
      <x:c r="P44" s="19" t="n">
        <x:v>23</x:v>
      </x:c>
      <x:c r="Q44" s="23" t="n">
        <x:v>173160</x:v>
      </x:c>
      <x:c r="R44" s="19" t="n">
        <x:v>0</x:v>
      </x:c>
      <x:c r="S44" s="21" t="str">
        <x:f>IF(R44=2,"Model assumes the specified connection cannot fit the selected profile geometry; redesign or profile substitution is required.",IF(R44=1,"Model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44" s="19" t="n">
        <x:v>0</x:v>
      </x:c>
      <x:c r="U44" s="21" t="str">
        <x:f>IF(T44&gt;=2,"Model assumes both final drawings and performance requirements are absent, preventing confirmation of scope and price.",IF(T44=1,"Model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44" s="12" t="n">
        <x:f>N44+ROUNDUP('Original data'!F44/O44,0)</x:f>
        <x:v>23</x:v>
      </x:c>
      <x:c r="W44" s="12" t="n">
        <x:f>P44-V44</x:f>
        <x:v>0</x:v>
      </x:c>
      <x:c r="X44" s="22" t="n">
        <x:f>ROUND(('Original data'!E44-Q44)/'Original data'!E44,10)</x:f>
        <x:v>0.22</x:v>
      </x:c>
      <x:c r="Y44" s="12" t="str">
        <x:v>Synthetic domain-informed scenario; seed 20261002</x:v>
      </x:c>
      <x:c r="Z44" s="12" t="str">
        <x:v>Scenario 043</x:v>
      </x:c>
    </x:row>
    <x:row r="45" ht="140" customHeight="1">
      <x:c r="A45" s="13" t="s">
        <x:v>46</x:v>
      </x:c>
      <x:c r="B45" s="13" t="s">
        <x:v>1</x:v>
      </x:c>
      <x:c r="C45" s="13" t="s">
        <x:v>1</x:v>
      </x:c>
      <x:c r="D45" s="13" t="str">
        <x:v>Synthetic scenario 044. Elements: Windows + Curtain Wall. Systems: AWS 75.SI+ / FWS 50. Complexity: Medium; profile: Standard; wind: High; region: Mountain. Value GBP 255,000; fabrication 1937 h. Physical dimensions and structural capacity are not calculated.</x:v>
      </x:c>
      <x:c r="E45" s="13" t="str">
        <x:v>All added conditions are synthetic assumptions. Statuses follow the Protocol; no historical outcomes or independent expert validation.</x:v>
      </x:c>
      <x:c r="F45" s="20" t="str">
        <x:f>IF(R45=2,"Critical",IF(R45=1,"Clarification","Acceptable"))</x:f>
        <x:v>Clarification</x:v>
      </x:c>
      <x:c r="G45" s="20" t="str">
        <x:f>IF(W45&lt;0,"Critical",IF(W45&lt;'Protocol'!$B$25,"Clarification","Acceptable"))</x:f>
        <x:v>Acceptable</x:v>
      </x:c>
      <x:c r="H45" s="20" t="str">
        <x:f>IF(X45&lt;'Protocol'!$B$23,"Critical",IF(X45&lt;'Protocol'!$B$24,"Clarification","Acceptable"))</x:f>
        <x:v>Acceptable</x:v>
      </x:c>
      <x:c r="I45" s="20" t="str">
        <x:f>IF(T45&gt;=2,"Critical",IF(T45=1,"Clarification","Acceptable"))</x:f>
        <x:v>Acceptable</x:v>
      </x:c>
      <x:c r="J45" s="20" t="str">
        <x:f t="shared" si="2">IF(COUNTIF(F45:I45,"Critical")&gt;0,"High",IF(COUNTIF(F45:I45,"Clarification")&gt;0,"Medium","Low"))</x:f>
        <x:v>Medium</x:v>
      </x:c>
      <x:c r="K45" s="20" t="str">
        <x:f>"Technical: "&amp;S45&amp;" Schedule: readiness "&amp;V45&amp;" weeks, deadline "&amp;P45&amp;" weeks, buffer "&amp;W45&amp;" weeks ("&amp;G45&amp;"). Commercial: gross margin "&amp;TEXT(X45,"0.0%")&amp;" ("&amp;H45&amp;"). Documentation: "&amp;U45&amp;" Result: "&amp;J45&amp;IF(J45="High"," because at least one domain is Critical.",IF(J45="Medium","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17 weeks, deadline 20 weeks, buffer 3 weeks (Acceptable). Commercial: gross margin 26.0% (Acceptable). Documentation: Model assumes drawings, installation scope and performance requirements are supplied. Result: Medium because clarification is required and no domain is Critical.</x:v>
      </x:c>
      <x:c r="L45" s="20" t="str">
        <x:f>IF(F45="Critical","Revise profile or connection. ",IF(F45="Clarification","Confirm connection and profile compatibility. ",""))&amp;IF(G45="Critical","Revise deadline or procurement/production plan. ",IF(G45="Clarification","Confirm capacity and protect the schedule buffer. ",""))&amp;IF(H45="Critical","Revise price or costs. ",IF(H45="Clarification","Confirm cost allowances and margin. ",""))&amp;IF(I45="Critical","Obtain drawings and performance requirements. ",IF(I45="Clarification","Confirm installation scope. ",""))&amp;IF(J45="Low","Proceed to routine tender checks.","")</x:f>
        <x:v>Confirm connection and profile compatibility. </x:v>
      </x:c>
      <x:c r="M45" s="20" t="str">
        <x:f t="shared" si="3">IF(J45=B45,"Matches legacy label","Different from legacy label")</x:f>
        <x:v>Matches legacy label</x:v>
      </x:c>
      <x:c r="N45" s="19" t="n">
        <x:v>10</x:v>
      </x:c>
      <x:c r="O45" s="19" t="n">
        <x:v>320</x:v>
      </x:c>
      <x:c r="P45" s="19" t="n">
        <x:v>20</x:v>
      </x:c>
      <x:c r="Q45" s="23" t="n">
        <x:v>188700</x:v>
      </x:c>
      <x:c r="R45" s="19" t="n">
        <x:v>1</x:v>
      </x:c>
      <x:c r="S45" s="21" t="str">
        <x:f>IF(R45=2,"Model assumes the specified connection cannot fit the selected profile geometry; redesign or profile substitution is required.",IF(R45=1,"Model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45" s="19" t="n">
        <x:v>0</x:v>
      </x:c>
      <x:c r="U45" s="21" t="str">
        <x:f>IF(T45&gt;=2,"Model assumes both final drawings and performance requirements are absent, preventing confirmation of scope and price.",IF(T45=1,"Model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45" s="12" t="n">
        <x:f>N45+ROUNDUP('Original data'!F45/O45,0)</x:f>
        <x:v>17</x:v>
      </x:c>
      <x:c r="W45" s="12" t="n">
        <x:f>P45-V45</x:f>
        <x:v>3</x:v>
      </x:c>
      <x:c r="X45" s="22" t="n">
        <x:f>ROUND(('Original data'!E45-Q45)/'Original data'!E45,10)</x:f>
        <x:v>0.26</x:v>
      </x:c>
      <x:c r="Y45" s="12" t="str">
        <x:v>Synthetic domain-informed scenario; seed 20261002</x:v>
      </x:c>
      <x:c r="Z45" s="12" t="str">
        <x:v>Scenario 044</x:v>
      </x:c>
    </x:row>
    <x:row r="46" ht="140" customHeight="1">
      <x:c r="A46" s="13" t="s">
        <x:v>47</x:v>
      </x:c>
      <x:c r="B46" s="13" t="s">
        <x:v>1</x:v>
      </x:c>
      <x:c r="C46" s="13" t="s">
        <x:v>7</x:v>
      </x:c>
      <x:c r="D46" s="13" t="str">
        <x:v>Synthetic scenario 045. Elements: Curtain Wall only. Systems: FWS 60. Complexity: Low; profile: Non-standard; wind: High; region: Industrial. Value GBP 124,000; fabrication 492 h. Physical dimensions and structural capacity are not calculated.</x:v>
      </x:c>
      <x:c r="E46" s="13" t="str">
        <x:v>All added conditions are synthetic assumptions. Statuses follow the Protocol; no historical outcomes or independent expert validation.</x:v>
      </x:c>
      <x:c r="F46" s="20" t="str">
        <x:f>IF(R46=2,"Critical",IF(R46=1,"Clarification","Acceptable"))</x:f>
        <x:v>Clarification</x:v>
      </x:c>
      <x:c r="G46" s="20" t="str">
        <x:f>IF(W46&lt;0,"Critical",IF(W46&lt;'Protocol'!$B$25,"Clarification","Acceptable"))</x:f>
        <x:v>Acceptable</x:v>
      </x:c>
      <x:c r="H46" s="20" t="str">
        <x:f>IF(X46&lt;'Protocol'!$B$23,"Critical",IF(X46&lt;'Protocol'!$B$24,"Clarification","Acceptable"))</x:f>
        <x:v>Clarification</x:v>
      </x:c>
      <x:c r="I46" s="20" t="str">
        <x:f>IF(T46&gt;=2,"Critical",IF(T46=1,"Clarification","Acceptable"))</x:f>
        <x:v>Clarification</x:v>
      </x:c>
      <x:c r="J46" s="20" t="str">
        <x:f t="shared" si="2">IF(COUNTIF(F46:I46,"Critical")&gt;0,"High",IF(COUNTIF(F46:I46,"Clarification")&gt;0,"Medium","Low"))</x:f>
        <x:v>Medium</x:v>
      </x:c>
      <x:c r="K46" s="20" t="str">
        <x:f>"Technical: "&amp;S46&amp;" Schedule: readiness "&amp;V46&amp;" weeks, deadline "&amp;P46&amp;" weeks, buffer "&amp;W46&amp;" weeks ("&amp;G46&amp;"). Commercial: gross margin "&amp;TEXT(X46,"0.0%")&amp;" ("&amp;H46&amp;"). Documentation: "&amp;U46&amp;" Result: "&amp;J46&amp;IF(J46="High"," because at least one domain is Critical.",IF(J46="Medium","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14 weeks, deadline 19 weeks, buffer 5 weeks (Acceptable). Commercial: gross margin 14.0% (Clarification). Documentation: Model assumes the installation scope requires written confirmation; drawings and performance requirements are supplied. Result: Medium because clarification is required and no domain is Critical.</x:v>
      </x:c>
      <x:c r="L46" s="20" t="str">
        <x:f>IF(F46="Critical","Revise profile or connection. ",IF(F46="Clarification","Confirm connection and profile compatibility. ",""))&amp;IF(G46="Critical","Revise deadline or procurement/production plan. ",IF(G46="Clarification","Confirm capacity and protect the schedule buffer. ",""))&amp;IF(H46="Critical","Revise price or costs. ",IF(H46="Clarification","Confirm cost allowances and margin. ",""))&amp;IF(I46="Critical","Obtain drawings and performance requirements. ",IF(I46="Clarification","Confirm installation scope. ",""))&amp;IF(J46="Low","Proceed to routine tender checks.","")</x:f>
        <x:v>Confirm connection and profile compatibility. Confirm cost allowances and margin. Confirm installation scope. </x:v>
      </x:c>
      <x:c r="M46" s="20" t="str">
        <x:f t="shared" si="3">IF(J46=B46,"Matches legacy label","Different from legacy label")</x:f>
        <x:v>Matches legacy label</x:v>
      </x:c>
      <x:c r="N46" s="19" t="n">
        <x:v>12</x:v>
      </x:c>
      <x:c r="O46" s="19" t="n">
        <x:v>320</x:v>
      </x:c>
      <x:c r="P46" s="19" t="n">
        <x:v>19</x:v>
      </x:c>
      <x:c r="Q46" s="23" t="n">
        <x:v>106640</x:v>
      </x:c>
      <x:c r="R46" s="19" t="n">
        <x:v>1</x:v>
      </x:c>
      <x:c r="S46" s="21" t="str">
        <x:f>IF(R46=2,"Model assumes the specified connection cannot fit the selected profile geometry; redesign or profile substitution is required.",IF(R46=1,"Model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46" s="19" t="n">
        <x:v>1</x:v>
      </x:c>
      <x:c r="U46" s="21" t="str">
        <x:f>IF(T46&gt;=2,"Model assumes both final drawings and performance requirements are absent, preventing confirmation of scope and price.",IF(T46=1,"Model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46" s="12" t="n">
        <x:f>N46+ROUNDUP('Original data'!F46/O46,0)</x:f>
        <x:v>14</x:v>
      </x:c>
      <x:c r="W46" s="12" t="n">
        <x:f>P46-V46</x:f>
        <x:v>5</x:v>
      </x:c>
      <x:c r="X46" s="22" t="n">
        <x:f>ROUND(('Original data'!E46-Q46)/'Original data'!E46,10)</x:f>
        <x:v>0.14</x:v>
      </x:c>
      <x:c r="Y46" s="12" t="str">
        <x:v>Synthetic domain-informed scenario; seed 20261002</x:v>
      </x:c>
      <x:c r="Z46" s="12" t="str">
        <x:v>Scenario 045</x:v>
      </x:c>
    </x:row>
    <x:row r="47" ht="140" customHeight="1">
      <x:c r="A47" s="13" t="s">
        <x:v>48</x:v>
      </x:c>
      <x:c r="B47" s="13" t="s">
        <x:v>3</x:v>
      </x:c>
      <x:c r="C47" s="13" t="s">
        <x:v>3</x:v>
      </x:c>
      <x:c r="D47" s="13" t="str">
        <x:v>Synthetic scenario 046. Elements: Curtain Wall only. Systems: FWS 60. Complexity: High; profile: Non-standard; wind: High; region: Industrial. Value GBP 271,000; fabrication 1196 h. Physical dimensions and structural capacity are not calculated.</x:v>
      </x:c>
      <x:c r="E47" s="13" t="str">
        <x:v>All added conditions are synthetic assumptions. Statuses follow the Protocol; no historical outcomes or independent expert validation.</x:v>
      </x:c>
      <x:c r="F47" s="20" t="str">
        <x:f>IF(R47=2,"Critical",IF(R47=1,"Clarification","Acceptable"))</x:f>
        <x:v>Clarification</x:v>
      </x:c>
      <x:c r="G47" s="20" t="str">
        <x:f>IF(W47&lt;0,"Critical",IF(W47&lt;'Protocol'!$B$25,"Clarification","Acceptable"))</x:f>
        <x:v>Acceptable</x:v>
      </x:c>
      <x:c r="H47" s="20" t="str">
        <x:f>IF(X47&lt;'Protocol'!$B$23,"Critical",IF(X47&lt;'Protocol'!$B$24,"Clarification","Acceptable"))</x:f>
        <x:v>Acceptable</x:v>
      </x:c>
      <x:c r="I47" s="20" t="str">
        <x:f>IF(T47&gt;=2,"Critical",IF(T47=1,"Clarification","Acceptable"))</x:f>
        <x:v>Critical</x:v>
      </x:c>
      <x:c r="J47" s="20" t="str">
        <x:f t="shared" si="2">IF(COUNTIF(F47:I47,"Critical")&gt;0,"High",IF(COUNTIF(F47:I47,"Clarification")&gt;0,"Medium","Low"))</x:f>
        <x:v>High</x:v>
      </x:c>
      <x:c r="K47" s="20" t="str">
        <x:f>"Technical: "&amp;S47&amp;" Schedule: readiness "&amp;V47&amp;" weeks, deadline "&amp;P47&amp;" weeks, buffer "&amp;W47&amp;" weeks ("&amp;G47&amp;"). Commercial: gross margin "&amp;TEXT(X47,"0.0%")&amp;" ("&amp;H47&amp;"). Documentation: "&amp;U47&amp;" Result: "&amp;J47&amp;IF(J47="High"," because at least one domain is Critical.",IF(J47="Medium","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20 weeks, deadline 23 weeks, buffer 3 weeks (Acceptable). Commercial: gross margin 18.0% (Acceptable). Documentation: Model assumes both final drawings and performance requirements are absent, preventing confirmation of scope and price. Result: High because at least one domain is Critical.</x:v>
      </x:c>
      <x:c r="L47" s="20" t="str">
        <x:f>IF(F47="Critical","Revise profile or connection. ",IF(F47="Clarification","Confirm connection and profile compatibility. ",""))&amp;IF(G47="Critical","Revise deadline or procurement/production plan. ",IF(G47="Clarification","Confirm capacity and protect the schedule buffer. ",""))&amp;IF(H47="Critical","Revise price or costs. ",IF(H47="Clarification","Confirm cost allowances and margin. ",""))&amp;IF(I47="Critical","Obtain drawings and performance requirements. ",IF(I47="Clarification","Confirm installation scope. ",""))&amp;IF(J47="Low","Proceed to routine tender checks.","")</x:f>
        <x:v>Confirm connection and profile compatibility. Obtain drawings and performance requirements. </x:v>
      </x:c>
      <x:c r="M47" s="20" t="str">
        <x:f t="shared" si="3">IF(J47=B47,"Matches legacy label","Different from legacy label")</x:f>
        <x:v>Matches legacy label</x:v>
      </x:c>
      <x:c r="N47" s="19" t="n">
        <x:v>12</x:v>
      </x:c>
      <x:c r="O47" s="19" t="n">
        <x:v>160</x:v>
      </x:c>
      <x:c r="P47" s="19" t="n">
        <x:v>23</x:v>
      </x:c>
      <x:c r="Q47" s="23" t="n">
        <x:v>222220</x:v>
      </x:c>
      <x:c r="R47" s="19" t="n">
        <x:v>1</x:v>
      </x:c>
      <x:c r="S47" s="21" t="str">
        <x:f>IF(R47=2,"Model assumes the specified connection cannot fit the selected profile geometry; redesign or profile substitution is required.",IF(R47=1,"Model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47" s="19" t="n">
        <x:v>2</x:v>
      </x:c>
      <x:c r="U47" s="21" t="str">
        <x:f>IF(T47&gt;=2,"Model assumes both final drawings and performance requirements are absent, preventing confirmation of scope and price.",IF(T47=1,"Model assumes the installation scope requires written confirmation; drawings and performance requirements are supplied.","Model assumes drawings, installation scope and performance requirements are supplied."))</x:f>
        <x:v>Model assumes both final drawings and performance requirements are absent, preventing confirmation of scope and price.</x:v>
      </x:c>
      <x:c r="V47" s="12" t="n">
        <x:f>N47+ROUNDUP('Original data'!F47/O47,0)</x:f>
        <x:v>20</x:v>
      </x:c>
      <x:c r="W47" s="12" t="n">
        <x:f>P47-V47</x:f>
        <x:v>3</x:v>
      </x:c>
      <x:c r="X47" s="22" t="n">
        <x:f>ROUND(('Original data'!E47-Q47)/'Original data'!E47,10)</x:f>
        <x:v>0.18</x:v>
      </x:c>
      <x:c r="Y47" s="12" t="str">
        <x:v>Synthetic domain-informed scenario; seed 20261002</x:v>
      </x:c>
      <x:c r="Z47" s="12" t="str">
        <x:v>Scenario 046</x:v>
      </x:c>
    </x:row>
    <x:row r="48" ht="140" customHeight="1">
      <x:c r="A48" s="13" t="s">
        <x:v>49</x:v>
      </x:c>
      <x:c r="B48" s="13" t="s">
        <x:v>3</x:v>
      </x:c>
      <x:c r="C48" s="13" t="s">
        <x:v>1</x:v>
      </x:c>
      <x:c r="D48" s="13" t="str">
        <x:v>Synthetic scenario 047. Elements: Windows + Doors (High Insulation). Systems: AWS 75.SI+ / ASE 80.HI. Complexity: High; profile: Non-standard; wind: Low; region: Mountain. Value GBP 241,000; fabrication 856 h. Physical dimensions and structural capacity are not calculated.</x:v>
      </x:c>
      <x:c r="E48" s="13" t="str">
        <x:v>All added conditions are synthetic assumptions. Statuses follow the Protocol; no historical outcomes or independent expert validation.</x:v>
      </x:c>
      <x:c r="F48" s="20" t="str">
        <x:f>IF(R48=2,"Critical",IF(R48=1,"Clarification","Acceptable"))</x:f>
        <x:v>Clarification</x:v>
      </x:c>
      <x:c r="G48" s="20" t="str">
        <x:f>IF(W48&lt;0,"Critical",IF(W48&lt;'Protocol'!$B$25,"Clarification","Acceptable"))</x:f>
        <x:v>Critical</x:v>
      </x:c>
      <x:c r="H48" s="20" t="str">
        <x:f>IF(X48&lt;'Protocol'!$B$23,"Critical",IF(X48&lt;'Protocol'!$B$24,"Clarification","Acceptable"))</x:f>
        <x:v>Acceptable</x:v>
      </x:c>
      <x:c r="I48" s="20" t="str">
        <x:f>IF(T48&gt;=2,"Critical",IF(T48=1,"Clarification","Acceptable"))</x:f>
        <x:v>Acceptable</x:v>
      </x:c>
      <x:c r="J48" s="20" t="str">
        <x:f t="shared" si="2">IF(COUNTIF(F48:I48,"Critical")&gt;0,"High",IF(COUNTIF(F48:I48,"Clarification")&gt;0,"Medium","Low"))</x:f>
        <x:v>High</x:v>
      </x:c>
      <x:c r="K48" s="20" t="str">
        <x:f>"Technical: "&amp;S48&amp;" Schedule: readiness "&amp;V48&amp;" weeks, deadline "&amp;P48&amp;" weeks, buffer "&amp;W48&amp;" weeks ("&amp;G48&amp;"). Commercial: gross margin "&amp;TEXT(X48,"0.0%")&amp;" ("&amp;H48&amp;"). Documentation: "&amp;U48&amp;" Result: "&amp;J48&amp;IF(J48="High"," because at least one domain is Critical.",IF(J48="Medium","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15 weeks, deadline 12 weeks, buffer -3 weeks (Critical). Commercial: gross margin 18.0% (Acceptable). Documentation: Model assumes drawings, installation scope and performance requirements are supplied. Result: High because at least one domain is Critical.</x:v>
      </x:c>
      <x:c r="L48" s="20" t="str">
        <x:f>IF(F48="Critical","Revise profile or connection. ",IF(F48="Clarification","Confirm connection and profile compatibility. ",""))&amp;IF(G48="Critical","Revise deadline or procurement/production plan. ",IF(G48="Clarification","Confirm capacity and protect the schedule buffer. ",""))&amp;IF(H48="Critical","Revise price or costs. ",IF(H48="Clarification","Confirm cost allowances and margin. ",""))&amp;IF(I48="Critical","Obtain drawings and performance requirements. ",IF(I48="Clarification","Confirm installation scope. ",""))&amp;IF(J48="Low","Proceed to routine tender checks.","")</x:f>
        <x:v>Confirm connection and profile compatibility. Revise deadline or procurement/production plan. </x:v>
      </x:c>
      <x:c r="M48" s="20" t="str">
        <x:f t="shared" si="3">IF(J48=B48,"Matches legacy label","Different from legacy label")</x:f>
        <x:v>Matches legacy label</x:v>
      </x:c>
      <x:c r="N48" s="19" t="n">
        <x:v>12</x:v>
      </x:c>
      <x:c r="O48" s="19" t="n">
        <x:v>320</x:v>
      </x:c>
      <x:c r="P48" s="19" t="n">
        <x:v>12</x:v>
      </x:c>
      <x:c r="Q48" s="23" t="n">
        <x:v>197620</x:v>
      </x:c>
      <x:c r="R48" s="19" t="n">
        <x:v>1</x:v>
      </x:c>
      <x:c r="S48" s="21" t="str">
        <x:f>IF(R48=2,"Model assumes the specified connection cannot fit the selected profile geometry; redesign or profile substitution is required.",IF(R48=1,"Model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48" s="19" t="n">
        <x:v>0</x:v>
      </x:c>
      <x:c r="U48" s="21" t="str">
        <x:f>IF(T48&gt;=2,"Model assumes both final drawings and performance requirements are absent, preventing confirmation of scope and price.",IF(T48=1,"Model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48" s="12" t="n">
        <x:f>N48+ROUNDUP('Original data'!F48/O48,0)</x:f>
        <x:v>15</x:v>
      </x:c>
      <x:c r="W48" s="12" t="n">
        <x:f>P48-V48</x:f>
        <x:v>-3</x:v>
      </x:c>
      <x:c r="X48" s="22" t="n">
        <x:f>ROUND(('Original data'!E48-Q48)/'Original data'!E48,10)</x:f>
        <x:v>0.18</x:v>
      </x:c>
      <x:c r="Y48" s="12" t="str">
        <x:v>Synthetic domain-informed scenario; seed 20261002</x:v>
      </x:c>
      <x:c r="Z48" s="12" t="str">
        <x:v>Scenario 047</x:v>
      </x:c>
    </x:row>
    <x:row r="49" ht="140" customHeight="1">
      <x:c r="A49" s="13" t="s">
        <x:v>50</x:v>
      </x:c>
      <x:c r="B49" s="13" t="s">
        <x:v>7</x:v>
      </x:c>
      <x:c r="C49" s="13" t="s">
        <x:v>7</x:v>
      </x:c>
      <x:c r="D49" s="13" t="str">
        <x:v>Synthetic scenario 048. Elements: Windows + Curtain Wall. Systems: AWS 75.SI+ / FWS 50. Complexity: Low; profile: Standard; wind: Low; region: Mountain. Value GBP 61,000; fabrication 499 h. Physical dimensions and structural capacity are not calculated.</x:v>
      </x:c>
      <x:c r="E49" s="13" t="str">
        <x:v>All added conditions are synthetic assumptions. Statuses follow the Protocol; no historical outcomes or independent expert validation.</x:v>
      </x:c>
      <x:c r="F49" s="20" t="str">
        <x:f>IF(R49=2,"Critical",IF(R49=1,"Clarification","Acceptable"))</x:f>
        <x:v>Acceptable</x:v>
      </x:c>
      <x:c r="G49" s="20" t="str">
        <x:f>IF(W49&lt;0,"Critical",IF(W49&lt;'Protocol'!$B$25,"Clarification","Acceptable"))</x:f>
        <x:v>Acceptable</x:v>
      </x:c>
      <x:c r="H49" s="20" t="str">
        <x:f>IF(X49&lt;'Protocol'!$B$23,"Critical",IF(X49&lt;'Protocol'!$B$24,"Clarification","Acceptable"))</x:f>
        <x:v>Acceptable</x:v>
      </x:c>
      <x:c r="I49" s="20" t="str">
        <x:f>IF(T49&gt;=2,"Critical",IF(T49=1,"Clarification","Acceptable"))</x:f>
        <x:v>Acceptable</x:v>
      </x:c>
      <x:c r="J49" s="20" t="str">
        <x:f t="shared" si="2">IF(COUNTIF(F49:I49,"Critical")&gt;0,"High",IF(COUNTIF(F49:I49,"Clarification")&gt;0,"Medium","Low"))</x:f>
        <x:v>Low</x:v>
      </x:c>
      <x:c r="K49" s="20" t="str">
        <x:f>"Technical: "&amp;S49&amp;" Schedule: readiness "&amp;V49&amp;" weeks, deadline "&amp;P49&amp;" weeks, buffer "&amp;W49&amp;" weeks ("&amp;G49&amp;"). Commercial: gross margin "&amp;TEXT(X49,"0.0%")&amp;" ("&amp;H49&amp;"). Documentation: "&amp;U49&amp;" Result: "&amp;J49&amp;IF(J49="High"," because at least one domain is Critical.",IF(J49="Medium"," because clarification is required and no domain is Critical."," because all four domains are Acceptable."))</x:f>
        <x:v>Technical: Model assumes the selected configuration fulfils the stated requirements; no unresolved technical issue. Schedule: readiness 14 weeks, deadline 17 weeks, buffer 3 weeks (Acceptable). Commercial: gross margin 26.0% (Acceptable). Documentation: Model assumes drawings, installation scope and performance requirements are supplied. Result: Low because all four domains are Acceptable.</x:v>
      </x:c>
      <x:c r="L49" s="20" t="str">
        <x:f>IF(F49="Critical","Revise profile or connection. ",IF(F49="Clarification","Confirm connection and profile compatibility. ",""))&amp;IF(G49="Critical","Revise deadline or procurement/production plan. ",IF(G49="Clarification","Confirm capacity and protect the schedule buffer. ",""))&amp;IF(H49="Critical","Revise price or costs. ",IF(H49="Clarification","Confirm cost allowances and margin. ",""))&amp;IF(I49="Critical","Obtain drawings and performance requirements. ",IF(I49="Clarification","Confirm installation scope. ",""))&amp;IF(J49="Low","Proceed to routine tender checks.","")</x:f>
        <x:v>Proceed to routine tender checks.</x:v>
      </x:c>
      <x:c r="M49" s="20" t="str">
        <x:f t="shared" si="3">IF(J49=B49,"Matches legacy label","Different from legacy label")</x:f>
        <x:v>Matches legacy label</x:v>
      </x:c>
      <x:c r="N49" s="19" t="n">
        <x:v>10</x:v>
      </x:c>
      <x:c r="O49" s="19" t="n">
        <x:v>160</x:v>
      </x:c>
      <x:c r="P49" s="19" t="n">
        <x:v>17</x:v>
      </x:c>
      <x:c r="Q49" s="23" t="n">
        <x:v>45140</x:v>
      </x:c>
      <x:c r="R49" s="19" t="n">
        <x:v>0</x:v>
      </x:c>
      <x:c r="S49" s="21" t="str">
        <x:f>IF(R49=2,"Model assumes the specified connection cannot fit the selected profile geometry; redesign or profile substitution is required.",IF(R49=1,"Model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49" s="19" t="n">
        <x:v>0</x:v>
      </x:c>
      <x:c r="U49" s="21" t="str">
        <x:f>IF(T49&gt;=2,"Model assumes both final drawings and performance requirements are absent, preventing confirmation of scope and price.",IF(T49=1,"Model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49" s="12" t="n">
        <x:f>N49+ROUNDUP('Original data'!F49/O49,0)</x:f>
        <x:v>14</x:v>
      </x:c>
      <x:c r="W49" s="12" t="n">
        <x:f>P49-V49</x:f>
        <x:v>3</x:v>
      </x:c>
      <x:c r="X49" s="22" t="n">
        <x:f>ROUND(('Original data'!E49-Q49)/'Original data'!E49,10)</x:f>
        <x:v>0.26</x:v>
      </x:c>
      <x:c r="Y49" s="12" t="str">
        <x:v>Synthetic domain-informed scenario; seed 20261002</x:v>
      </x:c>
      <x:c r="Z49" s="12" t="str">
        <x:v>Scenario 048</x:v>
      </x:c>
    </x:row>
    <x:row r="50" ht="140" customHeight="1">
      <x:c r="A50" s="13" t="s">
        <x:v>51</x:v>
      </x:c>
      <x:c r="B50" s="13" t="s">
        <x:v>3</x:v>
      </x:c>
      <x:c r="C50" s="13" t="s">
        <x:v>1</x:v>
      </x:c>
      <x:c r="D50" s="13" t="str">
        <x:v>Synthetic scenario 049. Elements: Windows + Doors (High Insulation). Systems: AWS 75.SI+ / ASE 80.HI. Complexity: High; profile: Non-standard; wind: High; region: Urban. Value GBP 133,000; fabrication 2860 h. Physical dimensions and structural capacity are not calculated.</x:v>
      </x:c>
      <x:c r="E50" s="13" t="str">
        <x:v>All added conditions are synthetic assumptions. Statuses follow the Protocol; no historical outcomes or independent expert validation.</x:v>
      </x:c>
      <x:c r="F50" s="20" t="str">
        <x:f>IF(R50=2,"Critical",IF(R50=1,"Clarification","Acceptable"))</x:f>
        <x:v>Acceptable</x:v>
      </x:c>
      <x:c r="G50" s="20" t="str">
        <x:f>IF(W50&lt;0,"Critical",IF(W50&lt;'Protocol'!$B$25,"Clarification","Acceptable"))</x:f>
        <x:v>Critical</x:v>
      </x:c>
      <x:c r="H50" s="20" t="str">
        <x:f>IF(X50&lt;'Protocol'!$B$23,"Critical",IF(X50&lt;'Protocol'!$B$24,"Clarification","Acceptable"))</x:f>
        <x:v>Acceptable</x:v>
      </x:c>
      <x:c r="I50" s="20" t="str">
        <x:f>IF(T50&gt;=2,"Critical",IF(T50=1,"Clarification","Acceptable"))</x:f>
        <x:v>Acceptable</x:v>
      </x:c>
      <x:c r="J50" s="20" t="str">
        <x:f t="shared" si="2">IF(COUNTIF(F50:I50,"Critical")&gt;0,"High",IF(COUNTIF(F50:I50,"Clarification")&gt;0,"Medium","Low"))</x:f>
        <x:v>High</x:v>
      </x:c>
      <x:c r="K50" s="20" t="str">
        <x:f>"Technical: "&amp;S50&amp;" Schedule: readiness "&amp;V50&amp;" weeks, deadline "&amp;P50&amp;" weeks, buffer "&amp;W50&amp;" weeks ("&amp;G50&amp;"). Commercial: gross margin "&amp;TEXT(X50,"0.0%")&amp;" ("&amp;H50&amp;"). Documentation: "&amp;U50&amp;" Result: "&amp;J50&amp;IF(J50="High"," because at least one domain is Critical.",IF(J50="Medium"," because clarification is required and no domain is Critical."," because all four domains are Acceptable."))</x:f>
        <x:v>Technical: Model assumes the selected configuration fulfils the stated requirements; no unresolved technical issue. Schedule: readiness 24 weeks, deadline 23 weeks, buffer -1 weeks (Critical). Commercial: gross margin 26.0% (Acceptable). Documentation: Model assumes drawings, installation scope and performance requirements are supplied. Result: High because at least one domain is Critical.</x:v>
      </x:c>
      <x:c r="L50" s="20" t="str">
        <x:f>IF(F50="Critical","Revise profile or connection. ",IF(F50="Clarification","Confirm connection and profile compatibility. ",""))&amp;IF(G50="Critical","Revise deadline or procurement/production plan. ",IF(G50="Clarification","Confirm capacity and protect the schedule buffer. ",""))&amp;IF(H50="Critical","Revise price or costs. ",IF(H50="Clarification","Confirm cost allowances and margin. ",""))&amp;IF(I50="Critical","Obtain drawings and performance requirements. ",IF(I50="Clarification","Confirm installation scope. ",""))&amp;IF(J50="Low","Proceed to routine tender checks.","")</x:f>
        <x:v>Revise deadline or procurement/production plan. </x:v>
      </x:c>
      <x:c r="M50" s="20" t="str">
        <x:f t="shared" si="3">IF(J50=B50,"Matches legacy label","Different from legacy label")</x:f>
        <x:v>Matches legacy label</x:v>
      </x:c>
      <x:c r="N50" s="19" t="n">
        <x:v>12</x:v>
      </x:c>
      <x:c r="O50" s="19" t="n">
        <x:v>240</x:v>
      </x:c>
      <x:c r="P50" s="19" t="n">
        <x:v>23</x:v>
      </x:c>
      <x:c r="Q50" s="23" t="n">
        <x:v>98420</x:v>
      </x:c>
      <x:c r="R50" s="19" t="n">
        <x:v>0</x:v>
      </x:c>
      <x:c r="S50" s="21" t="str">
        <x:f>IF(R50=2,"Model assumes the specified connection cannot fit the selected profile geometry; redesign or profile substitution is required.",IF(R50=1,"Model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50" s="19" t="n">
        <x:v>0</x:v>
      </x:c>
      <x:c r="U50" s="21" t="str">
        <x:f>IF(T50&gt;=2,"Model assumes both final drawings and performance requirements are absent, preventing confirmation of scope and price.",IF(T50=1,"Model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50" s="12" t="n">
        <x:f>N50+ROUNDUP('Original data'!F50/O50,0)</x:f>
        <x:v>24</x:v>
      </x:c>
      <x:c r="W50" s="12" t="n">
        <x:f>P50-V50</x:f>
        <x:v>-1</x:v>
      </x:c>
      <x:c r="X50" s="22" t="n">
        <x:f>ROUND(('Original data'!E50-Q50)/'Original data'!E50,10)</x:f>
        <x:v>0.26</x:v>
      </x:c>
      <x:c r="Y50" s="12" t="str">
        <x:v>Synthetic domain-informed scenario; seed 20261002</x:v>
      </x:c>
      <x:c r="Z50" s="12" t="str">
        <x:v>Scenario 049</x:v>
      </x:c>
    </x:row>
    <x:row r="51" ht="140" customHeight="1">
      <x:c r="A51" s="13" t="s">
        <x:v>52</x:v>
      </x:c>
      <x:c r="B51" s="13" t="s">
        <x:v>3</x:v>
      </x:c>
      <x:c r="C51" s="13" t="s">
        <x:v>3</x:v>
      </x:c>
      <x:c r="D51" s="13" t="str">
        <x:v>Synthetic scenario 050. Elements: Windows + Doors. Systems: AWS 75.SI+ / AD UP 75. Complexity: Medium; profile: Non-standard; wind: High; region: Mountain. Value GBP 452,000; fabrication 2719 h. Physical dimensions and structural capacity are not calculated.</x:v>
      </x:c>
      <x:c r="E51" s="13" t="str">
        <x:v>All added conditions are synthetic assumptions. Statuses follow the Protocol; no historical outcomes or independent expert validation.</x:v>
      </x:c>
      <x:c r="F51" s="20" t="str">
        <x:f>IF(R51=2,"Critical",IF(R51=1,"Clarification","Acceptable"))</x:f>
        <x:v>Acceptable</x:v>
      </x:c>
      <x:c r="G51" s="20" t="str">
        <x:f>IF(W51&lt;0,"Critical",IF(W51&lt;'Protocol'!$B$25,"Clarification","Acceptable"))</x:f>
        <x:v>Acceptable</x:v>
      </x:c>
      <x:c r="H51" s="20" t="str">
        <x:f>IF(X51&lt;'Protocol'!$B$23,"Critical",IF(X51&lt;'Protocol'!$B$24,"Clarification","Acceptable"))</x:f>
        <x:v>Acceptable</x:v>
      </x:c>
      <x:c r="I51" s="20" t="str">
        <x:f>IF(T51&gt;=2,"Critical",IF(T51=1,"Clarification","Acceptable"))</x:f>
        <x:v>Acceptable</x:v>
      </x:c>
      <x:c r="J51" s="20" t="str">
        <x:f t="shared" si="2">IF(COUNTIF(F51:I51,"Critical")&gt;0,"High",IF(COUNTIF(F51:I51,"Clarification")&gt;0,"Medium","Low"))</x:f>
        <x:v>Low</x:v>
      </x:c>
      <x:c r="K51" s="20" t="str">
        <x:f>"Technical: "&amp;S51&amp;" Schedule: readiness "&amp;V51&amp;" weeks, deadline "&amp;P51&amp;" weeks, buffer "&amp;W51&amp;" weeks ("&amp;G51&amp;"). Commercial: gross margin "&amp;TEXT(X51,"0.0%")&amp;" ("&amp;H51&amp;"). Documentation: "&amp;U51&amp;" Result: "&amp;J51&amp;IF(J51="High"," because at least one domain is Critical.",IF(J51="Medium"," because clarification is required and no domain is Critical."," because all four domains are Acceptable."))</x:f>
        <x:v>Technical: Model assumes the selected configuration fulfils the stated requirements; no unresolved technical issue. Schedule: readiness 21 weeks, deadline 28 weeks, buffer 7 weeks (Acceptable). Commercial: gross margin 26.0% (Acceptable). Documentation: Model assumes drawings, installation scope and performance requirements are supplied. Result: Low because all four domains are Acceptable.</x:v>
      </x:c>
      <x:c r="L51" s="20" t="str">
        <x:f>IF(F51="Critical","Revise profile or connection. ",IF(F51="Clarification","Confirm connection and profile compatibility. ",""))&amp;IF(G51="Critical","Revise deadline or procurement/production plan. ",IF(G51="Clarification","Confirm capacity and protect the schedule buffer. ",""))&amp;IF(H51="Critical","Revise price or costs. ",IF(H51="Clarification","Confirm cost allowances and margin. ",""))&amp;IF(I51="Critical","Obtain drawings and performance requirements. ",IF(I51="Clarification","Confirm installation scope. ",""))&amp;IF(J51="Low","Proceed to routine tender checks.","")</x:f>
        <x:v>Proceed to routine tender checks.</x:v>
      </x:c>
      <x:c r="M51" s="20" t="str">
        <x:f t="shared" si="3">IF(J51=B51,"Matches legacy label","Different from legacy label")</x:f>
        <x:v>Different from legacy label</x:v>
      </x:c>
      <x:c r="N51" s="19" t="n">
        <x:v>12</x:v>
      </x:c>
      <x:c r="O51" s="19" t="n">
        <x:v>320</x:v>
      </x:c>
      <x:c r="P51" s="19" t="n">
        <x:v>28</x:v>
      </x:c>
      <x:c r="Q51" s="23" t="n">
        <x:v>334480</x:v>
      </x:c>
      <x:c r="R51" s="19" t="n">
        <x:v>0</x:v>
      </x:c>
      <x:c r="S51" s="21" t="str">
        <x:f>IF(R51=2,"Model assumes the specified connection cannot fit the selected profile geometry; redesign or profile substitution is required.",IF(R51=1,"Model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51" s="19" t="n">
        <x:v>0</x:v>
      </x:c>
      <x:c r="U51" s="21" t="str">
        <x:f>IF(T51&gt;=2,"Model assumes both final drawings and performance requirements are absent, preventing confirmation of scope and price.",IF(T51=1,"Model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51" s="12" t="n">
        <x:f>N51+ROUNDUP('Original data'!F51/O51,0)</x:f>
        <x:v>21</x:v>
      </x:c>
      <x:c r="W51" s="12" t="n">
        <x:f>P51-V51</x:f>
        <x:v>7</x:v>
      </x:c>
      <x:c r="X51" s="22" t="n">
        <x:f>ROUND(('Original data'!E51-Q51)/'Original data'!E51,10)</x:f>
        <x:v>0.26</x:v>
      </x:c>
      <x:c r="Y51" s="12" t="str">
        <x:v>Synthetic domain-informed scenario; seed 20261002</x:v>
      </x:c>
      <x:c r="Z51" s="12" t="str">
        <x:v>Scenario 050</x:v>
      </x:c>
    </x:row>
    <x:row r="52" ht="140" customHeight="1">
      <x:c r="A52" s="13" t="s">
        <x:v>53</x:v>
      </x:c>
      <x:c r="B52" s="13" t="s">
        <x:v>3</x:v>
      </x:c>
      <x:c r="C52" s="13" t="s">
        <x:v>3</x:v>
      </x:c>
      <x:c r="D52" s="13" t="str">
        <x:v>Synthetic scenario 051. Elements: Windows + Doors (High Insulation). Systems: AWS 75.SI+ / ASE 80.HI. Complexity: High; profile: Non-standard; wind: High; region: Urban. Value GBP 76,000; fabrication 1114 h. Physical dimensions and structural capacity are not calculated.</x:v>
      </x:c>
      <x:c r="E52" s="13" t="str">
        <x:v>All added conditions are synthetic assumptions. Statuses follow the Protocol; no historical outcomes or independent expert validation.</x:v>
      </x:c>
      <x:c r="F52" s="20" t="str">
        <x:f>IF(R52=2,"Critical",IF(R52=1,"Clarification","Acceptable"))</x:f>
        <x:v>Acceptable</x:v>
      </x:c>
      <x:c r="G52" s="20" t="str">
        <x:f>IF(W52&lt;0,"Critical",IF(W52&lt;'Protocol'!$B$25,"Clarification","Acceptable"))</x:f>
        <x:v>Critical</x:v>
      </x:c>
      <x:c r="H52" s="20" t="str">
        <x:f>IF(X52&lt;'Protocol'!$B$23,"Critical",IF(X52&lt;'Protocol'!$B$24,"Clarification","Acceptable"))</x:f>
        <x:v>Acceptable</x:v>
      </x:c>
      <x:c r="I52" s="20" t="str">
        <x:f>IF(T52&gt;=2,"Critical",IF(T52=1,"Clarification","Acceptable"))</x:f>
        <x:v>Acceptable</x:v>
      </x:c>
      <x:c r="J52" s="20" t="str">
        <x:f t="shared" si="2">IF(COUNTIF(F52:I52,"Critical")&gt;0,"High",IF(COUNTIF(F52:I52,"Clarification")&gt;0,"Medium","Low"))</x:f>
        <x:v>High</x:v>
      </x:c>
      <x:c r="K52" s="20" t="str">
        <x:f>"Technical: "&amp;S52&amp;" Schedule: readiness "&amp;V52&amp;" weeks, deadline "&amp;P52&amp;" weeks, buffer "&amp;W52&amp;" weeks ("&amp;G52&amp;"). Commercial: gross margin "&amp;TEXT(X52,"0.0%")&amp;" ("&amp;H52&amp;"). Documentation: "&amp;U52&amp;" Result: "&amp;J52&amp;IF(J52="High"," because at least one domain is Critical.",IF(J52="Medium"," because clarification is required and no domain is Critical."," because all four domains are Acceptable."))</x:f>
        <x:v>Technical: Model assumes the selected configuration fulfils the stated requirements; no unresolved technical issue. Schedule: readiness 17 weeks, deadline 14 weeks, buffer -3 weeks (Critical). Commercial: gross margin 22.0% (Acceptable). Documentation: Model assumes drawings, installation scope and performance requirements are supplied. Result: High because at least one domain is Critical.</x:v>
      </x:c>
      <x:c r="L52" s="20" t="str">
        <x:f>IF(F52="Critical","Revise profile or connection. ",IF(F52="Clarification","Confirm connection and profile compatibility. ",""))&amp;IF(G52="Critical","Revise deadline or procurement/production plan. ",IF(G52="Clarification","Confirm capacity and protect the schedule buffer. ",""))&amp;IF(H52="Critical","Revise price or costs. ",IF(H52="Clarification","Confirm cost allowances and margin. ",""))&amp;IF(I52="Critical","Obtain drawings and performance requirements. ",IF(I52="Clarification","Confirm installation scope. ",""))&amp;IF(J52="Low","Proceed to routine tender checks.","")</x:f>
        <x:v>Revise deadline or procurement/production plan. </x:v>
      </x:c>
      <x:c r="M52" s="20" t="str">
        <x:f t="shared" si="3">IF(J52=B52,"Matches legacy label","Different from legacy label")</x:f>
        <x:v>Matches legacy label</x:v>
      </x:c>
      <x:c r="N52" s="19" t="n">
        <x:v>12</x:v>
      </x:c>
      <x:c r="O52" s="19" t="n">
        <x:v>240</x:v>
      </x:c>
      <x:c r="P52" s="19" t="n">
        <x:v>14</x:v>
      </x:c>
      <x:c r="Q52" s="23" t="n">
        <x:v>59280</x:v>
      </x:c>
      <x:c r="R52" s="19" t="n">
        <x:v>0</x:v>
      </x:c>
      <x:c r="S52" s="21" t="str">
        <x:f>IF(R52=2,"Model assumes the specified connection cannot fit the selected profile geometry; redesign or profile substitution is required.",IF(R52=1,"Model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52" s="19" t="n">
        <x:v>0</x:v>
      </x:c>
      <x:c r="U52" s="21" t="str">
        <x:f>IF(T52&gt;=2,"Model assumes both final drawings and performance requirements are absent, preventing confirmation of scope and price.",IF(T52=1,"Model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52" s="12" t="n">
        <x:f>N52+ROUNDUP('Original data'!F52/O52,0)</x:f>
        <x:v>17</x:v>
      </x:c>
      <x:c r="W52" s="12" t="n">
        <x:f>P52-V52</x:f>
        <x:v>-3</x:v>
      </x:c>
      <x:c r="X52" s="22" t="n">
        <x:f>ROUND(('Original data'!E52-Q52)/'Original data'!E52,10)</x:f>
        <x:v>0.22</x:v>
      </x:c>
      <x:c r="Y52" s="12" t="str">
        <x:v>Synthetic domain-informed scenario; seed 20261002</x:v>
      </x:c>
      <x:c r="Z52" s="12" t="str">
        <x:v>Scenario 051</x:v>
      </x:c>
    </x:row>
    <x:row r="53" ht="140" customHeight="1">
      <x:c r="A53" s="13" t="s">
        <x:v>54</x:v>
      </x:c>
      <x:c r="B53" s="13" t="s">
        <x:v>7</x:v>
      </x:c>
      <x:c r="C53" s="13" t="s">
        <x:v>7</x:v>
      </x:c>
      <x:c r="D53" s="13" t="str">
        <x:v>Synthetic scenario 052. Elements: Windows + Doors + Curtain Wall. Systems: AWS 75.SI+ / FWS 50 / AD UP 75. Complexity: Medium; profile: Standard; wind: Low; region: Inland. Value GBP 551,000; fabrication 868 h. Physical dimensions and structural capacity are not calculated.</x:v>
      </x:c>
      <x:c r="E53" s="13" t="str">
        <x:v>All added conditions are synthetic assumptions. Statuses follow the Protocol; no historical outcomes or independent expert validation.</x:v>
      </x:c>
      <x:c r="F53" s="20" t="str">
        <x:f>IF(R53=2,"Critical",IF(R53=1,"Clarification","Acceptable"))</x:f>
        <x:v>Acceptable</x:v>
      </x:c>
      <x:c r="G53" s="20" t="str">
        <x:f>IF(W53&lt;0,"Critical",IF(W53&lt;'Protocol'!$B$25,"Clarification","Acceptable"))</x:f>
        <x:v>Acceptable</x:v>
      </x:c>
      <x:c r="H53" s="20" t="str">
        <x:f>IF(X53&lt;'Protocol'!$B$23,"Critical",IF(X53&lt;'Protocol'!$B$24,"Clarification","Acceptable"))</x:f>
        <x:v>Acceptable</x:v>
      </x:c>
      <x:c r="I53" s="20" t="str">
        <x:f>IF(T53&gt;=2,"Critical",IF(T53=1,"Clarification","Acceptable"))</x:f>
        <x:v>Acceptable</x:v>
      </x:c>
      <x:c r="J53" s="20" t="str">
        <x:f t="shared" si="2">IF(COUNTIF(F53:I53,"Critical")&gt;0,"High",IF(COUNTIF(F53:I53,"Clarification")&gt;0,"Medium","Low"))</x:f>
        <x:v>Low</x:v>
      </x:c>
      <x:c r="K53" s="20" t="str">
        <x:f>"Technical: "&amp;S53&amp;" Schedule: readiness "&amp;V53&amp;" weeks, deadline "&amp;P53&amp;" weeks, buffer "&amp;W53&amp;" weeks ("&amp;G53&amp;"). Commercial: gross margin "&amp;TEXT(X53,"0.0%")&amp;" ("&amp;H53&amp;"). Documentation: "&amp;U53&amp;" Result: "&amp;J53&amp;IF(J53="High"," because at least one domain is Critical.",IF(J53="Medium"," because clarification is required and no domain is Critical."," because all four domains are Acceptable."))</x:f>
        <x:v>Technical: Model assumes the selected configuration fulfils the stated requirements; no unresolved technical issue. Schedule: readiness 14 weeks, deadline 17 weeks, buffer 3 weeks (Acceptable). Commercial: gross margin 22.0% (Acceptable). Documentation: Model assumes drawings, installation scope and performance requirements are supplied. Result: Low because all four domains are Acceptable.</x:v>
      </x:c>
      <x:c r="L53" s="20" t="str">
        <x:f>IF(F53="Critical","Revise profile or connection. ",IF(F53="Clarification","Confirm connection and profile compatibility. ",""))&amp;IF(G53="Critical","Revise deadline or procurement/production plan. ",IF(G53="Clarification","Confirm capacity and protect the schedule buffer. ",""))&amp;IF(H53="Critical","Revise price or costs. ",IF(H53="Clarification","Confirm cost allowances and margin. ",""))&amp;IF(I53="Critical","Obtain drawings and performance requirements. ",IF(I53="Clarification","Confirm installation scope. ",""))&amp;IF(J53="Low","Proceed to routine tender checks.","")</x:f>
        <x:v>Proceed to routine tender checks.</x:v>
      </x:c>
      <x:c r="M53" s="20" t="str">
        <x:f t="shared" si="3">IF(J53=B53,"Matches legacy label","Different from legacy label")</x:f>
        <x:v>Matches legacy label</x:v>
      </x:c>
      <x:c r="N53" s="19" t="n">
        <x:v>10</x:v>
      </x:c>
      <x:c r="O53" s="19" t="n">
        <x:v>240</x:v>
      </x:c>
      <x:c r="P53" s="19" t="n">
        <x:v>17</x:v>
      </x:c>
      <x:c r="Q53" s="23" t="n">
        <x:v>429780</x:v>
      </x:c>
      <x:c r="R53" s="19" t="n">
        <x:v>0</x:v>
      </x:c>
      <x:c r="S53" s="21" t="str">
        <x:f>IF(R53=2,"Model assumes the specified connection cannot fit the selected profile geometry; redesign or profile substitution is required.",IF(R53=1,"Model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53" s="19" t="n">
        <x:v>0</x:v>
      </x:c>
      <x:c r="U53" s="21" t="str">
        <x:f>IF(T53&gt;=2,"Model assumes both final drawings and performance requirements are absent, preventing confirmation of scope and price.",IF(T53=1,"Model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53" s="12" t="n">
        <x:f>N53+ROUNDUP('Original data'!F53/O53,0)</x:f>
        <x:v>14</x:v>
      </x:c>
      <x:c r="W53" s="12" t="n">
        <x:f>P53-V53</x:f>
        <x:v>3</x:v>
      </x:c>
      <x:c r="X53" s="22" t="n">
        <x:f>ROUND(('Original data'!E53-Q53)/'Original data'!E53,10)</x:f>
        <x:v>0.22</x:v>
      </x:c>
      <x:c r="Y53" s="12" t="str">
        <x:v>Synthetic domain-informed scenario; seed 20261002</x:v>
      </x:c>
      <x:c r="Z53" s="12" t="str">
        <x:v>Scenario 052</x:v>
      </x:c>
    </x:row>
    <x:row r="54" ht="140" customHeight="1">
      <x:c r="A54" s="13" t="s">
        <x:v>55</x:v>
      </x:c>
      <x:c r="B54" s="13" t="s">
        <x:v>7</x:v>
      </x:c>
      <x:c r="C54" s="13" t="s">
        <x:v>7</x:v>
      </x:c>
      <x:c r="D54" s="13" t="str">
        <x:v>Synthetic scenario 053. Elements: Curtain Wall only. Systems: FWS 50. Complexity: Medium; profile: Standard; wind: Low; region: Industrial. Value GBP 120,000; fabrication 1788 h. Physical dimensions and structural capacity are not calculated.</x:v>
      </x:c>
      <x:c r="E54" s="13" t="str">
        <x:v>All added conditions are synthetic assumptions. Statuses follow the Protocol; no historical outcomes or independent expert validation.</x:v>
      </x:c>
      <x:c r="F54" s="20" t="str">
        <x:f>IF(R54=2,"Critical",IF(R54=1,"Clarification","Acceptable"))</x:f>
        <x:v>Acceptable</x:v>
      </x:c>
      <x:c r="G54" s="20" t="str">
        <x:f>IF(W54&lt;0,"Critical",IF(W54&lt;'Protocol'!$B$25,"Clarification","Acceptable"))</x:f>
        <x:v>Acceptable</x:v>
      </x:c>
      <x:c r="H54" s="20" t="str">
        <x:f>IF(X54&lt;'Protocol'!$B$23,"Critical",IF(X54&lt;'Protocol'!$B$24,"Clarification","Acceptable"))</x:f>
        <x:v>Critical</x:v>
      </x:c>
      <x:c r="I54" s="20" t="str">
        <x:f>IF(T54&gt;=2,"Critical",IF(T54=1,"Clarification","Acceptable"))</x:f>
        <x:v>Clarification</x:v>
      </x:c>
      <x:c r="J54" s="20" t="str">
        <x:f t="shared" si="2">IF(COUNTIF(F54:I54,"Critical")&gt;0,"High",IF(COUNTIF(F54:I54,"Clarification")&gt;0,"Medium","Low"))</x:f>
        <x:v>High</x:v>
      </x:c>
      <x:c r="K54" s="20" t="str">
        <x:f>"Technical: "&amp;S54&amp;" Schedule: readiness "&amp;V54&amp;" weeks, deadline "&amp;P54&amp;" weeks, buffer "&amp;W54&amp;" weeks ("&amp;G54&amp;"). Commercial: gross margin "&amp;TEXT(X54,"0.0%")&amp;" ("&amp;H54&amp;"). Documentation: "&amp;U54&amp;" Result: "&amp;J54&amp;IF(J54="High"," because at least one domain is Critical.",IF(J54="Medium"," because clarification is required and no domain is Critical."," because all four domains are Acceptable."))</x:f>
        <x:v>Technical: Model assumes the selected configuration fulfils the stated requirements; no unresolved technical issue. Schedule: readiness 22 weeks, deadline 29 weeks, buffer 7 weeks (Acceptable). Commercial: gross margin 9.0% (Critical). Documentation: Model assumes the installation scope requires written confirmation; drawings and performance requirements are supplied. Result: High because at least one domain is Critical.</x:v>
      </x:c>
      <x:c r="L54" s="20" t="str">
        <x:f>IF(F54="Critical","Revise profile or connection. ",IF(F54="Clarification","Confirm connection and profile compatibility. ",""))&amp;IF(G54="Critical","Revise deadline or procurement/production plan. ",IF(G54="Clarification","Confirm capacity and protect the schedule buffer. ",""))&amp;IF(H54="Critical","Revise price or costs. ",IF(H54="Clarification","Confirm cost allowances and margin. ",""))&amp;IF(I54="Critical","Obtain drawings and performance requirements. ",IF(I54="Clarification","Confirm installation scope. ",""))&amp;IF(J54="Low","Proceed to routine tender checks.","")</x:f>
        <x:v>Revise price or costs. Confirm installation scope. </x:v>
      </x:c>
      <x:c r="M54" s="20" t="str">
        <x:f t="shared" si="3">IF(J54=B54,"Matches legacy label","Different from legacy label")</x:f>
        <x:v>Different from legacy label</x:v>
      </x:c>
      <x:c r="N54" s="19" t="n">
        <x:v>10</x:v>
      </x:c>
      <x:c r="O54" s="19" t="n">
        <x:v>160</x:v>
      </x:c>
      <x:c r="P54" s="19" t="n">
        <x:v>29</x:v>
      </x:c>
      <x:c r="Q54" s="23" t="n">
        <x:v>109200</x:v>
      </x:c>
      <x:c r="R54" s="19" t="n">
        <x:v>0</x:v>
      </x:c>
      <x:c r="S54" s="21" t="str">
        <x:f>IF(R54=2,"Model assumes the specified connection cannot fit the selected profile geometry; redesign or profile substitution is required.",IF(R54=1,"Model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54" s="19" t="n">
        <x:v>1</x:v>
      </x:c>
      <x:c r="U54" s="21" t="str">
        <x:f>IF(T54&gt;=2,"Model assumes both final drawings and performance requirements are absent, preventing confirmation of scope and price.",IF(T54=1,"Model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54" s="12" t="n">
        <x:f>N54+ROUNDUP('Original data'!F54/O54,0)</x:f>
        <x:v>22</x:v>
      </x:c>
      <x:c r="W54" s="12" t="n">
        <x:f>P54-V54</x:f>
        <x:v>7</x:v>
      </x:c>
      <x:c r="X54" s="22" t="n">
        <x:f>ROUND(('Original data'!E54-Q54)/'Original data'!E54,10)</x:f>
        <x:v>0.09</x:v>
      </x:c>
      <x:c r="Y54" s="12" t="str">
        <x:v>Synthetic domain-informed scenario; seed 20261002</x:v>
      </x:c>
      <x:c r="Z54" s="12" t="str">
        <x:v>Scenario 053</x:v>
      </x:c>
    </x:row>
    <x:row r="55" ht="140" customHeight="1">
      <x:c r="A55" s="13" t="s">
        <x:v>56</x:v>
      </x:c>
      <x:c r="B55" s="13" t="s">
        <x:v>3</x:v>
      </x:c>
      <x:c r="C55" s="13" t="s">
        <x:v>3</x:v>
      </x:c>
      <x:c r="D55" s="13" t="str">
        <x:v>Synthetic scenario 054. Elements: Windows + Doors (High Insulation). Systems: AWS 75.SI+ / ASE 80.HI. Complexity: High; profile: Non-standard; wind: Low; region: Coastal. Value GBP 142,000; fabrication 319 h. Physical dimensions and structural capacity are not calculated.</x:v>
      </x:c>
      <x:c r="E55" s="13" t="str">
        <x:v>All added conditions are synthetic assumptions. Statuses follow the Protocol; no historical outcomes or independent expert validation.</x:v>
      </x:c>
      <x:c r="F55" s="20" t="str">
        <x:f>IF(R55=2,"Critical",IF(R55=1,"Clarification","Acceptable"))</x:f>
        <x:v>Clarification</x:v>
      </x:c>
      <x:c r="G55" s="20" t="str">
        <x:f>IF(W55&lt;0,"Critical",IF(W55&lt;'Protocol'!$B$25,"Clarification","Acceptable"))</x:f>
        <x:v>Acceptable</x:v>
      </x:c>
      <x:c r="H55" s="20" t="str">
        <x:f>IF(X55&lt;'Protocol'!$B$23,"Critical",IF(X55&lt;'Protocol'!$B$24,"Clarification","Acceptable"))</x:f>
        <x:v>Critical</x:v>
      </x:c>
      <x:c r="I55" s="20" t="str">
        <x:f>IF(T55&gt;=2,"Critical",IF(T55=1,"Clarification","Acceptable"))</x:f>
        <x:v>Clarification</x:v>
      </x:c>
      <x:c r="J55" s="20" t="str">
        <x:f t="shared" si="2">IF(COUNTIF(F55:I55,"Critical")&gt;0,"High",IF(COUNTIF(F55:I55,"Clarification")&gt;0,"Medium","Low"))</x:f>
        <x:v>High</x:v>
      </x:c>
      <x:c r="K55" s="20" t="str">
        <x:f>"Technical: "&amp;S55&amp;" Schedule: readiness "&amp;V55&amp;" weeks, deadline "&amp;P55&amp;" weeks, buffer "&amp;W55&amp;" weeks ("&amp;G55&amp;"). Commercial: gross margin "&amp;TEXT(X55,"0.0%")&amp;" ("&amp;H55&amp;"). Documentation: "&amp;U55&amp;" Result: "&amp;J55&amp;IF(J55="High"," because at least one domain is Critical.",IF(J55="Medium","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13 weeks, deadline 16 weeks, buffer 3 weeks (Acceptable). Commercial: gross margin 7.0% (Critical). Documentation: Model assumes the installation scope requires written confirmation; drawings and performance requirements are supplied. Result: High because at least one domain is Critical.</x:v>
      </x:c>
      <x:c r="L55" s="20" t="str">
        <x:f>IF(F55="Critical","Revise profile or connection. ",IF(F55="Clarification","Confirm connection and profile compatibility. ",""))&amp;IF(G55="Critical","Revise deadline or procurement/production plan. ",IF(G55="Clarification","Confirm capacity and protect the schedule buffer. ",""))&amp;IF(H55="Critical","Revise price or costs. ",IF(H55="Clarification","Confirm cost allowances and margin. ",""))&amp;IF(I55="Critical","Obtain drawings and performance requirements. ",IF(I55="Clarification","Confirm installation scope. ",""))&amp;IF(J55="Low","Proceed to routine tender checks.","")</x:f>
        <x:v>Confirm connection and profile compatibility. Revise price or costs. Confirm installation scope. </x:v>
      </x:c>
      <x:c r="M55" s="20" t="str">
        <x:f t="shared" si="3">IF(J55=B55,"Matches legacy label","Different from legacy label")</x:f>
        <x:v>Matches legacy label</x:v>
      </x:c>
      <x:c r="N55" s="19" t="n">
        <x:v>12</x:v>
      </x:c>
      <x:c r="O55" s="19" t="n">
        <x:v>320</x:v>
      </x:c>
      <x:c r="P55" s="19" t="n">
        <x:v>16</x:v>
      </x:c>
      <x:c r="Q55" s="23" t="n">
        <x:v>132060</x:v>
      </x:c>
      <x:c r="R55" s="19" t="n">
        <x:v>1</x:v>
      </x:c>
      <x:c r="S55" s="21" t="str">
        <x:f>IF(R55=2,"Model assumes the specified connection cannot fit the selected profile geometry; redesign or profile substitution is required.",IF(R55=1,"Model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55" s="19" t="n">
        <x:v>1</x:v>
      </x:c>
      <x:c r="U55" s="21" t="str">
        <x:f>IF(T55&gt;=2,"Model assumes both final drawings and performance requirements are absent, preventing confirmation of scope and price.",IF(T55=1,"Model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55" s="12" t="n">
        <x:f>N55+ROUNDUP('Original data'!F55/O55,0)</x:f>
        <x:v>13</x:v>
      </x:c>
      <x:c r="W55" s="12" t="n">
        <x:f>P55-V55</x:f>
        <x:v>3</x:v>
      </x:c>
      <x:c r="X55" s="22" t="n">
        <x:f>ROUND(('Original data'!E55-Q55)/'Original data'!E55,10)</x:f>
        <x:v>0.07</x:v>
      </x:c>
      <x:c r="Y55" s="12" t="str">
        <x:v>Synthetic domain-informed scenario; seed 20261002</x:v>
      </x:c>
      <x:c r="Z55" s="12" t="str">
        <x:v>Scenario 054</x:v>
      </x:c>
    </x:row>
    <x:row r="56" ht="140" customHeight="1">
      <x:c r="A56" s="13" t="s">
        <x:v>57</x:v>
      </x:c>
      <x:c r="B56" s="13" t="s">
        <x:v>3</x:v>
      </x:c>
      <x:c r="C56" s="13" t="s">
        <x:v>3</x:v>
      </x:c>
      <x:c r="D56" s="13" t="str">
        <x:v>Synthetic scenario 055. Elements: Windows + Doors (High Insulation). Systems: AWS 75.SI+ / ASE 80.HI. Complexity: High; profile: Non-standard; wind: Low; region: Urban. Value GBP 326,000; fabrication 1375 h. Physical dimensions and structural capacity are not calculated.</x:v>
      </x:c>
      <x:c r="E56" s="13" t="str">
        <x:v>All added conditions are synthetic assumptions. Statuses follow the Protocol; no historical outcomes or independent expert validation.</x:v>
      </x:c>
      <x:c r="F56" s="20" t="str">
        <x:f>IF(R56=2,"Critical",IF(R56=1,"Clarification","Acceptable"))</x:f>
        <x:v>Acceptable</x:v>
      </x:c>
      <x:c r="G56" s="20" t="str">
        <x:f>IF(W56&lt;0,"Critical",IF(W56&lt;'Protocol'!$B$25,"Clarification","Acceptable"))</x:f>
        <x:v>Clarification</x:v>
      </x:c>
      <x:c r="H56" s="20" t="str">
        <x:f>IF(X56&lt;'Protocol'!$B$23,"Critical",IF(X56&lt;'Protocol'!$B$24,"Clarification","Acceptable"))</x:f>
        <x:v>Clarification</x:v>
      </x:c>
      <x:c r="I56" s="20" t="str">
        <x:f>IF(T56&gt;=2,"Critical",IF(T56=1,"Clarification","Acceptable"))</x:f>
        <x:v>Acceptable</x:v>
      </x:c>
      <x:c r="J56" s="20" t="str">
        <x:f t="shared" si="2">IF(COUNTIF(F56:I56,"Critical")&gt;0,"High",IF(COUNTIF(F56:I56,"Clarification")&gt;0,"Medium","Low"))</x:f>
        <x:v>Medium</x:v>
      </x:c>
      <x:c r="K56" s="20" t="str">
        <x:f>"Technical: "&amp;S56&amp;" Schedule: readiness "&amp;V56&amp;" weeks, deadline "&amp;P56&amp;" weeks, buffer "&amp;W56&amp;" weeks ("&amp;G56&amp;"). Commercial: gross margin "&amp;TEXT(X56,"0.0%")&amp;" ("&amp;H56&amp;"). Documentation: "&amp;U56&amp;" Result: "&amp;J56&amp;IF(J56="High"," because at least one domain is Critical.",IF(J56="Medium"," because clarification is required and no domain is Critical."," because all four domains are Acceptable."))</x:f>
        <x:v>Technical: Model assumes the selected configuration fulfils the stated requirements; no unresolved technical issue. Schedule: readiness 21 weeks, deadline 21 weeks, buffer 0 weeks (Clarification). Commercial: gross margin 14.0% (Clarification). Documentation: Model assumes drawings, installation scope and performance requirements are supplied. Result: Medium because clarification is required and no domain is Critical.</x:v>
      </x:c>
      <x:c r="L56" s="20" t="str">
        <x:f>IF(F56="Critical","Revise profile or connection. ",IF(F56="Clarification","Confirm connection and profile compatibility. ",""))&amp;IF(G56="Critical","Revise deadline or procurement/production plan. ",IF(G56="Clarification","Confirm capacity and protect the schedule buffer. ",""))&amp;IF(H56="Critical","Revise price or costs. ",IF(H56="Clarification","Confirm cost allowances and margin. ",""))&amp;IF(I56="Critical","Obtain drawings and performance requirements. ",IF(I56="Clarification","Confirm installation scope. ",""))&amp;IF(J56="Low","Proceed to routine tender checks.","")</x:f>
        <x:v>Confirm capacity and protect the schedule buffer. Confirm cost allowances and margin. </x:v>
      </x:c>
      <x:c r="M56" s="20" t="str">
        <x:f t="shared" si="3">IF(J56=B56,"Matches legacy label","Different from legacy label")</x:f>
        <x:v>Different from legacy label</x:v>
      </x:c>
      <x:c r="N56" s="19" t="n">
        <x:v>12</x:v>
      </x:c>
      <x:c r="O56" s="19" t="n">
        <x:v>160</x:v>
      </x:c>
      <x:c r="P56" s="19" t="n">
        <x:v>21</x:v>
      </x:c>
      <x:c r="Q56" s="23" t="n">
        <x:v>280360</x:v>
      </x:c>
      <x:c r="R56" s="19" t="n">
        <x:v>0</x:v>
      </x:c>
      <x:c r="S56" s="21" t="str">
        <x:f>IF(R56=2,"Model assumes the specified connection cannot fit the selected profile geometry; redesign or profile substitution is required.",IF(R56=1,"Model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56" s="19" t="n">
        <x:v>0</x:v>
      </x:c>
      <x:c r="U56" s="21" t="str">
        <x:f>IF(T56&gt;=2,"Model assumes both final drawings and performance requirements are absent, preventing confirmation of scope and price.",IF(T56=1,"Model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56" s="12" t="n">
        <x:f>N56+ROUNDUP('Original data'!F56/O56,0)</x:f>
        <x:v>21</x:v>
      </x:c>
      <x:c r="W56" s="12" t="n">
        <x:f>P56-V56</x:f>
        <x:v>0</x:v>
      </x:c>
      <x:c r="X56" s="22" t="n">
        <x:f>ROUND(('Original data'!E56-Q56)/'Original data'!E56,10)</x:f>
        <x:v>0.14</x:v>
      </x:c>
      <x:c r="Y56" s="12" t="str">
        <x:v>Synthetic domain-informed scenario; seed 20261002</x:v>
      </x:c>
      <x:c r="Z56" s="12" t="str">
        <x:v>Scenario 055</x:v>
      </x:c>
    </x:row>
    <x:row r="57" ht="140" customHeight="1">
      <x:c r="A57" s="13" t="s">
        <x:v>58</x:v>
      </x:c>
      <x:c r="B57" s="13" t="s">
        <x:v>3</x:v>
      </x:c>
      <x:c r="C57" s="13" t="s">
        <x:v>3</x:v>
      </x:c>
      <x:c r="D57" s="13" t="str">
        <x:v>Synthetic scenario 056. Elements: Windows + Doors (High Insulation). Systems: AWS 75.SI+ / ASE 80.HI. Complexity: High; profile: Non-standard; wind: Low; region: Coastal. Value GBP 2,760,000; fabrication 7219 h. Physical dimensions and structural capacity are not calculated.</x:v>
      </x:c>
      <x:c r="E57" s="13" t="str">
        <x:v>All added conditions are synthetic assumptions. Statuses follow the Protocol; no historical outcomes or independent expert validation.</x:v>
      </x:c>
      <x:c r="F57" s="20" t="str">
        <x:f>IF(R57=2,"Critical",IF(R57=1,"Clarification","Acceptable"))</x:f>
        <x:v>Clarification</x:v>
      </x:c>
      <x:c r="G57" s="20" t="str">
        <x:f>IF(W57&lt;0,"Critical",IF(W57&lt;'Protocol'!$B$25,"Clarification","Acceptable"))</x:f>
        <x:v>Acceptable</x:v>
      </x:c>
      <x:c r="H57" s="20" t="str">
        <x:f>IF(X57&lt;'Protocol'!$B$23,"Critical",IF(X57&lt;'Protocol'!$B$24,"Clarification","Acceptable"))</x:f>
        <x:v>Acceptable</x:v>
      </x:c>
      <x:c r="I57" s="20" t="str">
        <x:f>IF(T57&gt;=2,"Critical",IF(T57=1,"Clarification","Acceptable"))</x:f>
        <x:v>Acceptable</x:v>
      </x:c>
      <x:c r="J57" s="20" t="str">
        <x:f t="shared" si="2">IF(COUNTIF(F57:I57,"Critical")&gt;0,"High",IF(COUNTIF(F57:I57,"Clarification")&gt;0,"Medium","Low"))</x:f>
        <x:v>Medium</x:v>
      </x:c>
      <x:c r="K57" s="20" t="str">
        <x:f>"Technical: "&amp;S57&amp;" Schedule: readiness "&amp;V57&amp;" weeks, deadline "&amp;P57&amp;" weeks, buffer "&amp;W57&amp;" weeks ("&amp;G57&amp;"). Commercial: gross margin "&amp;TEXT(X57,"0.0%")&amp;" ("&amp;H57&amp;"). Documentation: "&amp;U57&amp;" Result: "&amp;J57&amp;IF(J57="High"," because at least one domain is Critical.",IF(J57="Medium","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35 weeks, deadline 38 weeks, buffer 3 weeks (Acceptable). Commercial: gross margin 26.0% (Acceptable). Documentation: Model assumes drawings, installation scope and performance requirements are supplied. Result: Medium because clarification is required and no domain is Critical.</x:v>
      </x:c>
      <x:c r="L57" s="20" t="str">
        <x:f>IF(F57="Critical","Revise profile or connection. ",IF(F57="Clarification","Confirm connection and profile compatibility. ",""))&amp;IF(G57="Critical","Revise deadline or procurement/production plan. ",IF(G57="Clarification","Confirm capacity and protect the schedule buffer. ",""))&amp;IF(H57="Critical","Revise price or costs. ",IF(H57="Clarification","Confirm cost allowances and margin. ",""))&amp;IF(I57="Critical","Obtain drawings and performance requirements. ",IF(I57="Clarification","Confirm installation scope. ",""))&amp;IF(J57="Low","Proceed to routine tender checks.","")</x:f>
        <x:v>Confirm connection and profile compatibility. </x:v>
      </x:c>
      <x:c r="M57" s="20" t="str">
        <x:f t="shared" si="3">IF(J57=B57,"Matches legacy label","Different from legacy label")</x:f>
        <x:v>Different from legacy label</x:v>
      </x:c>
      <x:c r="N57" s="19" t="n">
        <x:v>12</x:v>
      </x:c>
      <x:c r="O57" s="19" t="n">
        <x:v>320</x:v>
      </x:c>
      <x:c r="P57" s="19" t="n">
        <x:v>38</x:v>
      </x:c>
      <x:c r="Q57" s="23" t="n">
        <x:v>2042400</x:v>
      </x:c>
      <x:c r="R57" s="19" t="n">
        <x:v>1</x:v>
      </x:c>
      <x:c r="S57" s="21" t="str">
        <x:f>IF(R57=2,"Model assumes the specified connection cannot fit the selected profile geometry; redesign or profile substitution is required.",IF(R57=1,"Model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57" s="19" t="n">
        <x:v>0</x:v>
      </x:c>
      <x:c r="U57" s="21" t="str">
        <x:f>IF(T57&gt;=2,"Model assumes both final drawings and performance requirements are absent, preventing confirmation of scope and price.",IF(T57=1,"Model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57" s="12" t="n">
        <x:f>N57+ROUNDUP('Original data'!F57/O57,0)</x:f>
        <x:v>35</x:v>
      </x:c>
      <x:c r="W57" s="12" t="n">
        <x:f>P57-V57</x:f>
        <x:v>3</x:v>
      </x:c>
      <x:c r="X57" s="22" t="n">
        <x:f>ROUND(('Original data'!E57-Q57)/'Original data'!E57,10)</x:f>
        <x:v>0.26</x:v>
      </x:c>
      <x:c r="Y57" s="12" t="str">
        <x:v>Synthetic domain-informed scenario; seed 20261002</x:v>
      </x:c>
      <x:c r="Z57" s="12" t="str">
        <x:v>Scenario 056</x:v>
      </x:c>
    </x:row>
    <x:row r="58" ht="140" customHeight="1">
      <x:c r="A58" s="13" t="s">
        <x:v>59</x:v>
      </x:c>
      <x:c r="B58" s="13" t="s">
        <x:v>1</x:v>
      </x:c>
      <x:c r="C58" s="13" t="s">
        <x:v>1</x:v>
      </x:c>
      <x:c r="D58" s="13" t="str">
        <x:v>Synthetic scenario 057. Elements: Curtain Wall only. Systems: FWS 60. Complexity: High; profile: Standard; wind: Low; region: Inland. Value GBP 151,000; fabrication 2070 h. Physical dimensions and structural capacity are not calculated.</x:v>
      </x:c>
      <x:c r="E58" s="13" t="str">
        <x:v>All added conditions are synthetic assumptions. Statuses follow the Protocol; no historical outcomes or independent expert validation.</x:v>
      </x:c>
      <x:c r="F58" s="20" t="str">
        <x:f>IF(R58=2,"Critical",IF(R58=1,"Clarification","Acceptable"))</x:f>
        <x:v>Acceptable</x:v>
      </x:c>
      <x:c r="G58" s="20" t="str">
        <x:f>IF(W58&lt;0,"Critical",IF(W58&lt;'Protocol'!$B$25,"Clarification","Acceptable"))</x:f>
        <x:v>Acceptable</x:v>
      </x:c>
      <x:c r="H58" s="20" t="str">
        <x:f>IF(X58&lt;'Protocol'!$B$23,"Critical",IF(X58&lt;'Protocol'!$B$24,"Clarification","Acceptable"))</x:f>
        <x:v>Acceptable</x:v>
      </x:c>
      <x:c r="I58" s="20" t="str">
        <x:f>IF(T58&gt;=2,"Critical",IF(T58=1,"Clarification","Acceptable"))</x:f>
        <x:v>Acceptable</x:v>
      </x:c>
      <x:c r="J58" s="20" t="str">
        <x:f t="shared" si="2">IF(COUNTIF(F58:I58,"Critical")&gt;0,"High",IF(COUNTIF(F58:I58,"Clarification")&gt;0,"Medium","Low"))</x:f>
        <x:v>Low</x:v>
      </x:c>
      <x:c r="K58" s="20" t="str">
        <x:f>"Technical: "&amp;S58&amp;" Schedule: readiness "&amp;V58&amp;" weeks, deadline "&amp;P58&amp;" weeks, buffer "&amp;W58&amp;" weeks ("&amp;G58&amp;"). Commercial: gross margin "&amp;TEXT(X58,"0.0%")&amp;" ("&amp;H58&amp;"). Documentation: "&amp;U58&amp;" Result: "&amp;J58&amp;IF(J58="High"," because at least one domain is Critical.",IF(J58="Medium"," because clarification is required and no domain is Critical."," because all four domains are Acceptable."))</x:f>
        <x:v>Technical: Model assumes the selected configuration fulfils the stated requirements; no unresolved technical issue. Schedule: readiness 23 weeks, deadline 28 weeks, buffer 5 weeks (Acceptable). Commercial: gross margin 22.0% (Acceptable). Documentation: Model assumes drawings, installation scope and performance requirements are supplied. Result: Low because all four domains are Acceptable.</x:v>
      </x:c>
      <x:c r="L58" s="20" t="str">
        <x:f>IF(F58="Critical","Revise profile or connection. ",IF(F58="Clarification","Confirm connection and profile compatibility. ",""))&amp;IF(G58="Critical","Revise deadline or procurement/production plan. ",IF(G58="Clarification","Confirm capacity and protect the schedule buffer. ",""))&amp;IF(H58="Critical","Revise price or costs. ",IF(H58="Clarification","Confirm cost allowances and margin. ",""))&amp;IF(I58="Critical","Obtain drawings and performance requirements. ",IF(I58="Clarification","Confirm installation scope. ",""))&amp;IF(J58="Low","Proceed to routine tender checks.","")</x:f>
        <x:v>Proceed to routine tender checks.</x:v>
      </x:c>
      <x:c r="M58" s="20" t="str">
        <x:f t="shared" si="3">IF(J58=B58,"Matches legacy label","Different from legacy label")</x:f>
        <x:v>Different from legacy label</x:v>
      </x:c>
      <x:c r="N58" s="19" t="n">
        <x:v>10</x:v>
      </x:c>
      <x:c r="O58" s="19" t="n">
        <x:v>160</x:v>
      </x:c>
      <x:c r="P58" s="19" t="n">
        <x:v>28</x:v>
      </x:c>
      <x:c r="Q58" s="23" t="n">
        <x:v>117780</x:v>
      </x:c>
      <x:c r="R58" s="19" t="n">
        <x:v>0</x:v>
      </x:c>
      <x:c r="S58" s="21" t="str">
        <x:f>IF(R58=2,"Model assumes the specified connection cannot fit the selected profile geometry; redesign or profile substitution is required.",IF(R58=1,"Model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58" s="19" t="n">
        <x:v>0</x:v>
      </x:c>
      <x:c r="U58" s="21" t="str">
        <x:f>IF(T58&gt;=2,"Model assumes both final drawings and performance requirements are absent, preventing confirmation of scope and price.",IF(T58=1,"Model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58" s="12" t="n">
        <x:f>N58+ROUNDUP('Original data'!F58/O58,0)</x:f>
        <x:v>23</x:v>
      </x:c>
      <x:c r="W58" s="12" t="n">
        <x:f>P58-V58</x:f>
        <x:v>5</x:v>
      </x:c>
      <x:c r="X58" s="22" t="n">
        <x:f>ROUND(('Original data'!E58-Q58)/'Original data'!E58,10)</x:f>
        <x:v>0.22</x:v>
      </x:c>
      <x:c r="Y58" s="12" t="str">
        <x:v>Synthetic domain-informed scenario; seed 20261002</x:v>
      </x:c>
      <x:c r="Z58" s="12" t="str">
        <x:v>Scenario 057</x:v>
      </x:c>
    </x:row>
    <x:row r="59" ht="140" customHeight="1">
      <x:c r="A59" s="13" t="s">
        <x:v>60</x:v>
      </x:c>
      <x:c r="B59" s="13" t="s">
        <x:v>3</x:v>
      </x:c>
      <x:c r="C59" s="13" t="s">
        <x:v>1</x:v>
      </x:c>
      <x:c r="D59" s="13" t="str">
        <x:v>Synthetic scenario 058. Elements: Curtain Wall only. Systems: FWS 60. Complexity: Low; profile: Non-standard; wind: High; region: Coastal. Value GBP 56,000; fabrication 2117 h. Physical dimensions and structural capacity are not calculated.</x:v>
      </x:c>
      <x:c r="E59" s="13" t="str">
        <x:v>All added conditions are synthetic assumptions. Statuses follow the Protocol; no historical outcomes or independent expert validation.</x:v>
      </x:c>
      <x:c r="F59" s="20" t="str">
        <x:f>IF(R59=2,"Critical",IF(R59=1,"Clarification","Acceptable"))</x:f>
        <x:v>Clarification</x:v>
      </x:c>
      <x:c r="G59" s="20" t="str">
        <x:f>IF(W59&lt;0,"Critical",IF(W59&lt;'Protocol'!$B$25,"Clarification","Acceptable"))</x:f>
        <x:v>Acceptable</x:v>
      </x:c>
      <x:c r="H59" s="20" t="str">
        <x:f>IF(X59&lt;'Protocol'!$B$23,"Critical",IF(X59&lt;'Protocol'!$B$24,"Clarification","Acceptable"))</x:f>
        <x:v>Acceptable</x:v>
      </x:c>
      <x:c r="I59" s="20" t="str">
        <x:f>IF(T59&gt;=2,"Critical",IF(T59=1,"Clarification","Acceptable"))</x:f>
        <x:v>Clarification</x:v>
      </x:c>
      <x:c r="J59" s="20" t="str">
        <x:f t="shared" si="2">IF(COUNTIF(F59:I59,"Critical")&gt;0,"High",IF(COUNTIF(F59:I59,"Clarification")&gt;0,"Medium","Low"))</x:f>
        <x:v>Medium</x:v>
      </x:c>
      <x:c r="K59" s="20" t="str">
        <x:f>"Technical: "&amp;S59&amp;" Schedule: readiness "&amp;V59&amp;" weeks, deadline "&amp;P59&amp;" weeks, buffer "&amp;W59&amp;" weeks ("&amp;G59&amp;"). Commercial: gross margin "&amp;TEXT(X59,"0.0%")&amp;" ("&amp;H59&amp;"). Documentation: "&amp;U59&amp;" Result: "&amp;J59&amp;IF(J59="High"," because at least one domain is Critical.",IF(J59="Medium","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21 weeks, deadline 24 weeks, buffer 3 weeks (Acceptable).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59" s="20" t="str">
        <x:f>IF(F59="Critical","Revise profile or connection. ",IF(F59="Clarification","Confirm connection and profile compatibility. ",""))&amp;IF(G59="Critical","Revise deadline or procurement/production plan. ",IF(G59="Clarification","Confirm capacity and protect the schedule buffer. ",""))&amp;IF(H59="Critical","Revise price or costs. ",IF(H59="Clarification","Confirm cost allowances and margin. ",""))&amp;IF(I59="Critical","Obtain drawings and performance requirements. ",IF(I59="Clarification","Confirm installation scope. ",""))&amp;IF(J59="Low","Proceed to routine tender checks.","")</x:f>
        <x:v>Confirm connection and profile compatibility. Confirm installation scope. </x:v>
      </x:c>
      <x:c r="M59" s="20" t="str">
        <x:f t="shared" si="3">IF(J59=B59,"Matches legacy label","Different from legacy label")</x:f>
        <x:v>Different from legacy label</x:v>
      </x:c>
      <x:c r="N59" s="19" t="n">
        <x:v>12</x:v>
      </x:c>
      <x:c r="O59" s="19" t="n">
        <x:v>240</x:v>
      </x:c>
      <x:c r="P59" s="19" t="n">
        <x:v>24</x:v>
      </x:c>
      <x:c r="Q59" s="23" t="n">
        <x:v>45920</x:v>
      </x:c>
      <x:c r="R59" s="19" t="n">
        <x:v>1</x:v>
      </x:c>
      <x:c r="S59" s="21" t="str">
        <x:f>IF(R59=2,"Model assumes the specified connection cannot fit the selected profile geometry; redesign or profile substitution is required.",IF(R59=1,"Model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59" s="19" t="n">
        <x:v>1</x:v>
      </x:c>
      <x:c r="U59" s="21" t="str">
        <x:f>IF(T59&gt;=2,"Model assumes both final drawings and performance requirements are absent, preventing confirmation of scope and price.",IF(T59=1,"Model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59" s="12" t="n">
        <x:f>N59+ROUNDUP('Original data'!F59/O59,0)</x:f>
        <x:v>21</x:v>
      </x:c>
      <x:c r="W59" s="12" t="n">
        <x:f>P59-V59</x:f>
        <x:v>3</x:v>
      </x:c>
      <x:c r="X59" s="22" t="n">
        <x:f>ROUND(('Original data'!E59-Q59)/'Original data'!E59,10)</x:f>
        <x:v>0.18</x:v>
      </x:c>
      <x:c r="Y59" s="12" t="str">
        <x:v>Synthetic domain-informed scenario; seed 20261002</x:v>
      </x:c>
      <x:c r="Z59" s="12" t="str">
        <x:v>Scenario 058</x:v>
      </x:c>
    </x:row>
    <x:row r="60" ht="140" customHeight="1">
      <x:c r="A60" s="13" t="s">
        <x:v>61</x:v>
      </x:c>
      <x:c r="B60" s="13" t="s">
        <x:v>1</x:v>
      </x:c>
      <x:c r="C60" s="13" t="s">
        <x:v>1</x:v>
      </x:c>
      <x:c r="D60" s="13" t="str">
        <x:v>Synthetic scenario 059. Elements: Curtain Wall only. Systems: FWS 60. Complexity: Medium; profile: Standard; wind: Low; region: Industrial. Value GBP 66,000; fabrication 3244 h. Physical dimensions and structural capacity are not calculated.</x:v>
      </x:c>
      <x:c r="E60" s="13" t="str">
        <x:v>All added conditions are synthetic assumptions. Statuses follow the Protocol; no historical outcomes or independent expert validation.</x:v>
      </x:c>
      <x:c r="F60" s="20" t="str">
        <x:f>IF(R60=2,"Critical",IF(R60=1,"Clarification","Acceptable"))</x:f>
        <x:v>Clarification</x:v>
      </x:c>
      <x:c r="G60" s="20" t="str">
        <x:f>IF(W60&lt;0,"Critical",IF(W60&lt;'Protocol'!$B$25,"Clarification","Acceptable"))</x:f>
        <x:v>Acceptable</x:v>
      </x:c>
      <x:c r="H60" s="20" t="str">
        <x:f>IF(X60&lt;'Protocol'!$B$23,"Critical",IF(X60&lt;'Protocol'!$B$24,"Clarification","Acceptable"))</x:f>
        <x:v>Critical</x:v>
      </x:c>
      <x:c r="I60" s="20" t="str">
        <x:f>IF(T60&gt;=2,"Critical",IF(T60=1,"Clarification","Acceptable"))</x:f>
        <x:v>Acceptable</x:v>
      </x:c>
      <x:c r="J60" s="20" t="str">
        <x:f t="shared" si="2">IF(COUNTIF(F60:I60,"Critical")&gt;0,"High",IF(COUNTIF(F60:I60,"Clarification")&gt;0,"Medium","Low"))</x:f>
        <x:v>High</x:v>
      </x:c>
      <x:c r="K60" s="20" t="str">
        <x:f>"Technical: "&amp;S60&amp;" Schedule: readiness "&amp;V60&amp;" weeks, deadline "&amp;P60&amp;" weeks, buffer "&amp;W60&amp;" weeks ("&amp;G60&amp;"). Commercial: gross margin "&amp;TEXT(X60,"0.0%")&amp;" ("&amp;H60&amp;"). Documentation: "&amp;U60&amp;" Result: "&amp;J60&amp;IF(J60="High"," because at least one domain is Critical.",IF(J60="Medium","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31 weeks, deadline 38 weeks, buffer 7 weeks (Acceptable). Commercial: gross margin 7.0% (Critical). Documentation: Model assumes drawings, installation scope and performance requirements are supplied. Result: High because at least one domain is Critical.</x:v>
      </x:c>
      <x:c r="L60" s="20" t="str">
        <x:f>IF(F60="Critical","Revise profile or connection. ",IF(F60="Clarification","Confirm connection and profile compatibility. ",""))&amp;IF(G60="Critical","Revise deadline or procurement/production plan. ",IF(G60="Clarification","Confirm capacity and protect the schedule buffer. ",""))&amp;IF(H60="Critical","Revise price or costs. ",IF(H60="Clarification","Confirm cost allowances and margin. ",""))&amp;IF(I60="Critical","Obtain drawings and performance requirements. ",IF(I60="Clarification","Confirm installation scope. ",""))&amp;IF(J60="Low","Proceed to routine tender checks.","")</x:f>
        <x:v>Confirm connection and profile compatibility. Revise price or costs. </x:v>
      </x:c>
      <x:c r="M60" s="20" t="str">
        <x:f t="shared" si="3">IF(J60=B60,"Matches legacy label","Different from legacy label")</x:f>
        <x:v>Different from legacy label</x:v>
      </x:c>
      <x:c r="N60" s="19" t="n">
        <x:v>10</x:v>
      </x:c>
      <x:c r="O60" s="19" t="n">
        <x:v>160</x:v>
      </x:c>
      <x:c r="P60" s="19" t="n">
        <x:v>38</x:v>
      </x:c>
      <x:c r="Q60" s="23" t="n">
        <x:v>61380</x:v>
      </x:c>
      <x:c r="R60" s="19" t="n">
        <x:v>1</x:v>
      </x:c>
      <x:c r="S60" s="21" t="str">
        <x:f>IF(R60=2,"Model assumes the specified connection cannot fit the selected profile geometry; redesign or profile substitution is required.",IF(R60=1,"Model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60" s="19" t="n">
        <x:v>0</x:v>
      </x:c>
      <x:c r="U60" s="21" t="str">
        <x:f>IF(T60&gt;=2,"Model assumes both final drawings and performance requirements are absent, preventing confirmation of scope and price.",IF(T60=1,"Model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60" s="12" t="n">
        <x:f>N60+ROUNDUP('Original data'!F60/O60,0)</x:f>
        <x:v>31</x:v>
      </x:c>
      <x:c r="W60" s="12" t="n">
        <x:f>P60-V60</x:f>
        <x:v>7</x:v>
      </x:c>
      <x:c r="X60" s="22" t="n">
        <x:f>ROUND(('Original data'!E60-Q60)/'Original data'!E60,10)</x:f>
        <x:v>0.07</x:v>
      </x:c>
      <x:c r="Y60" s="12" t="str">
        <x:v>Synthetic domain-informed scenario; seed 20261002</x:v>
      </x:c>
      <x:c r="Z60" s="12" t="str">
        <x:v>Scenario 059</x:v>
      </x:c>
    </x:row>
    <x:row r="61" ht="140" customHeight="1">
      <x:c r="A61" s="13" t="s">
        <x:v>62</x:v>
      </x:c>
      <x:c r="B61" s="13" t="s">
        <x:v>1</x:v>
      </x:c>
      <x:c r="C61" s="13" t="s">
        <x:v>1</x:v>
      </x:c>
      <x:c r="D61" s="13" t="str">
        <x:v>Synthetic scenario 060. Elements: Curtain Wall only. Systems: FWS 60. Complexity: Low; profile: Non-standard; wind: Low; region: Mountain. Value GBP 105,000; fabrication 730 h. Physical dimensions and structural capacity are not calculated.</x:v>
      </x:c>
      <x:c r="E61" s="13" t="str">
        <x:v>All added conditions are synthetic assumptions. Statuses follow the Protocol; no historical outcomes or independent expert validation.</x:v>
      </x:c>
      <x:c r="F61" s="20" t="str">
        <x:f>IF(R61=2,"Critical",IF(R61=1,"Clarification","Acceptable"))</x:f>
        <x:v>Acceptable</x:v>
      </x:c>
      <x:c r="G61" s="20" t="str">
        <x:f>IF(W61&lt;0,"Critical",IF(W61&lt;'Protocol'!$B$25,"Clarification","Acceptable"))</x:f>
        <x:v>Clarification</x:v>
      </x:c>
      <x:c r="H61" s="20" t="str">
        <x:f>IF(X61&lt;'Protocol'!$B$23,"Critical",IF(X61&lt;'Protocol'!$B$24,"Clarification","Acceptable"))</x:f>
        <x:v>Acceptable</x:v>
      </x:c>
      <x:c r="I61" s="20" t="str">
        <x:f>IF(T61&gt;=2,"Critical",IF(T61=1,"Clarification","Acceptable"))</x:f>
        <x:v>Critical</x:v>
      </x:c>
      <x:c r="J61" s="20" t="str">
        <x:f t="shared" si="2">IF(COUNTIF(F61:I61,"Critical")&gt;0,"High",IF(COUNTIF(F61:I61,"Clarification")&gt;0,"Medium","Low"))</x:f>
        <x:v>High</x:v>
      </x:c>
      <x:c r="K61" s="20" t="str">
        <x:f>"Technical: "&amp;S61&amp;" Schedule: readiness "&amp;V61&amp;" weeks, deadline "&amp;P61&amp;" weeks, buffer "&amp;W61&amp;" weeks ("&amp;G61&amp;"). Commercial: gross margin "&amp;TEXT(X61,"0.0%")&amp;" ("&amp;H61&amp;"). Documentation: "&amp;U61&amp;" Result: "&amp;J61&amp;IF(J61="High"," because at least one domain is Critical.",IF(J61="Medium"," because clarification is required and no domain is Critical."," because all four domains are Acceptable."))</x:f>
        <x:v>Technical: Model assumes the selected configuration fulfils the stated requirements; no unresolved technical issue. Schedule: readiness 16 weeks, deadline 17 weeks, buffer 1 weeks (Clarification). Commercial: gross margin 18.0% (Acceptable). Documentation: Model assumes both final drawings and performance requirements are absent, preventing confirmation of scope and price. Result: High because at least one domain is Critical.</x:v>
      </x:c>
      <x:c r="L61" s="20" t="str">
        <x:f>IF(F61="Critical","Revise profile or connection. ",IF(F61="Clarification","Confirm connection and profile compatibility. ",""))&amp;IF(G61="Critical","Revise deadline or procurement/production plan. ",IF(G61="Clarification","Confirm capacity and protect the schedule buffer. ",""))&amp;IF(H61="Critical","Revise price or costs. ",IF(H61="Clarification","Confirm cost allowances and margin. ",""))&amp;IF(I61="Critical","Obtain drawings and performance requirements. ",IF(I61="Clarification","Confirm installation scope. ",""))&amp;IF(J61="Low","Proceed to routine tender checks.","")</x:f>
        <x:v>Confirm capacity and protect the schedule buffer. Obtain drawings and performance requirements. </x:v>
      </x:c>
      <x:c r="M61" s="20" t="str">
        <x:f t="shared" si="3">IF(J61=B61,"Matches legacy label","Different from legacy label")</x:f>
        <x:v>Different from legacy label</x:v>
      </x:c>
      <x:c r="N61" s="19" t="n">
        <x:v>12</x:v>
      </x:c>
      <x:c r="O61" s="19" t="n">
        <x:v>240</x:v>
      </x:c>
      <x:c r="P61" s="19" t="n">
        <x:v>17</x:v>
      </x:c>
      <x:c r="Q61" s="23" t="n">
        <x:v>86100</x:v>
      </x:c>
      <x:c r="R61" s="19" t="n">
        <x:v>0</x:v>
      </x:c>
      <x:c r="S61" s="21" t="str">
        <x:f>IF(R61=2,"Model assumes the specified connection cannot fit the selected profile geometry; redesign or profile substitution is required.",IF(R61=1,"Model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61" s="19" t="n">
        <x:v>2</x:v>
      </x:c>
      <x:c r="U61" s="21" t="str">
        <x:f>IF(T61&gt;=2,"Model assumes both final drawings and performance requirements are absent, preventing confirmation of scope and price.",IF(T61=1,"Model assumes the installation scope requires written confirmation; drawings and performance requirements are supplied.","Model assumes drawings, installation scope and performance requirements are supplied."))</x:f>
        <x:v>Model assumes both final drawings and performance requirements are absent, preventing confirmation of scope and price.</x:v>
      </x:c>
      <x:c r="V61" s="12" t="n">
        <x:f>N61+ROUNDUP('Original data'!F61/O61,0)</x:f>
        <x:v>16</x:v>
      </x:c>
      <x:c r="W61" s="12" t="n">
        <x:f>P61-V61</x:f>
        <x:v>1</x:v>
      </x:c>
      <x:c r="X61" s="22" t="n">
        <x:f>ROUND(('Original data'!E61-Q61)/'Original data'!E61,10)</x:f>
        <x:v>0.18</x:v>
      </x:c>
      <x:c r="Y61" s="12" t="str">
        <x:v>Synthetic domain-informed scenario; seed 20261002</x:v>
      </x:c>
      <x:c r="Z61" s="12" t="str">
        <x:v>Scenario 060</x:v>
      </x:c>
    </x:row>
    <x:row r="62" ht="140" customHeight="1">
      <x:c r="A62" s="13" t="s">
        <x:v>63</x:v>
      </x:c>
      <x:c r="B62" s="13" t="s">
        <x:v>3</x:v>
      </x:c>
      <x:c r="C62" s="13" t="s">
        <x:v>1</x:v>
      </x:c>
      <x:c r="D62" s="13" t="str">
        <x:v>Synthetic scenario 061. Elements: Curtain Wall only. Systems: FWS 60. Complexity: Low; profile: Non-standard; wind: High; region: Inland. Value GBP 77,000; fabrication 1631 h. Physical dimensions and structural capacity are not calculated.</x:v>
      </x:c>
      <x:c r="E62" s="13" t="str">
        <x:v>All added conditions are synthetic assumptions. Statuses follow the Protocol; no historical outcomes or independent expert validation.</x:v>
      </x:c>
      <x:c r="F62" s="20" t="str">
        <x:f>IF(R62=2,"Critical",IF(R62=1,"Clarification","Acceptable"))</x:f>
        <x:v>Acceptable</x:v>
      </x:c>
      <x:c r="G62" s="20" t="str">
        <x:f>IF(W62&lt;0,"Critical",IF(W62&lt;'Protocol'!$B$25,"Clarification","Acceptable"))</x:f>
        <x:v>Clarification</x:v>
      </x:c>
      <x:c r="H62" s="20" t="str">
        <x:f>IF(X62&lt;'Protocol'!$B$23,"Critical",IF(X62&lt;'Protocol'!$B$24,"Clarification","Acceptable"))</x:f>
        <x:v>Acceptable</x:v>
      </x:c>
      <x:c r="I62" s="20" t="str">
        <x:f>IF(T62&gt;=2,"Critical",IF(T62=1,"Clarification","Acceptable"))</x:f>
        <x:v>Clarification</x:v>
      </x:c>
      <x:c r="J62" s="20" t="str">
        <x:f t="shared" si="2">IF(COUNTIF(F62:I62,"Critical")&gt;0,"High",IF(COUNTIF(F62:I62,"Clarification")&gt;0,"Medium","Low"))</x:f>
        <x:v>Medium</x:v>
      </x:c>
      <x:c r="K62" s="20" t="str">
        <x:f>"Technical: "&amp;S62&amp;" Schedule: readiness "&amp;V62&amp;" weeks, deadline "&amp;P62&amp;" weeks, buffer "&amp;W62&amp;" weeks ("&amp;G62&amp;"). Commercial: gross margin "&amp;TEXT(X62,"0.0%")&amp;" ("&amp;H62&amp;"). Documentation: "&amp;U62&amp;" Result: "&amp;J62&amp;IF(J62="High"," because at least one domain is Critical.",IF(J62="Medium"," because clarification is required and no domain is Critical."," because all four domains are Acceptable."))</x:f>
        <x:v>Technical: Model assumes the selected configuration fulfils the stated requirements; no unresolved technical issue. Schedule: readiness 19 weeks, deadline 20 weeks, buffer 1 weeks (Clarification).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62" s="20" t="str">
        <x:f>IF(F62="Critical","Revise profile or connection. ",IF(F62="Clarification","Confirm connection and profile compatibility. ",""))&amp;IF(G62="Critical","Revise deadline or procurement/production plan. ",IF(G62="Clarification","Confirm capacity and protect the schedule buffer. ",""))&amp;IF(H62="Critical","Revise price or costs. ",IF(H62="Clarification","Confirm cost allowances and margin. ",""))&amp;IF(I62="Critical","Obtain drawings and performance requirements. ",IF(I62="Clarification","Confirm installation scope. ",""))&amp;IF(J62="Low","Proceed to routine tender checks.","")</x:f>
        <x:v>Confirm capacity and protect the schedule buffer. Confirm installation scope. </x:v>
      </x:c>
      <x:c r="M62" s="20" t="str">
        <x:f t="shared" si="3">IF(J62=B62,"Matches legacy label","Different from legacy label")</x:f>
        <x:v>Different from legacy label</x:v>
      </x:c>
      <x:c r="N62" s="19" t="n">
        <x:v>12</x:v>
      </x:c>
      <x:c r="O62" s="19" t="n">
        <x:v>240</x:v>
      </x:c>
      <x:c r="P62" s="19" t="n">
        <x:v>20</x:v>
      </x:c>
      <x:c r="Q62" s="23" t="n">
        <x:v>63140</x:v>
      </x:c>
      <x:c r="R62" s="19" t="n">
        <x:v>0</x:v>
      </x:c>
      <x:c r="S62" s="21" t="str">
        <x:f>IF(R62=2,"Model assumes the specified connection cannot fit the selected profile geometry; redesign or profile substitution is required.",IF(R62=1,"Model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62" s="19" t="n">
        <x:v>1</x:v>
      </x:c>
      <x:c r="U62" s="21" t="str">
        <x:f>IF(T62&gt;=2,"Model assumes both final drawings and performance requirements are absent, preventing confirmation of scope and price.",IF(T62=1,"Model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62" s="12" t="n">
        <x:f>N62+ROUNDUP('Original data'!F62/O62,0)</x:f>
        <x:v>19</x:v>
      </x:c>
      <x:c r="W62" s="12" t="n">
        <x:f>P62-V62</x:f>
        <x:v>1</x:v>
      </x:c>
      <x:c r="X62" s="22" t="n">
        <x:f>ROUND(('Original data'!E62-Q62)/'Original data'!E62,10)</x:f>
        <x:v>0.18</x:v>
      </x:c>
      <x:c r="Y62" s="12" t="str">
        <x:v>Synthetic domain-informed scenario; seed 20261002</x:v>
      </x:c>
      <x:c r="Z62" s="12" t="str">
        <x:v>Scenario 061</x:v>
      </x:c>
    </x:row>
    <x:row r="63" ht="140" customHeight="1">
      <x:c r="A63" s="13" t="s">
        <x:v>64</x:v>
      </x:c>
      <x:c r="B63" s="13" t="s">
        <x:v>7</x:v>
      </x:c>
      <x:c r="C63" s="13" t="s">
        <x:v>7</x:v>
      </x:c>
      <x:c r="D63" s="13" t="str">
        <x:v>Synthetic scenario 062. Elements: Windows + Doors + Curtain Wall. Systems: AWS 75.SI+ / FWS 50 / AD UP 75. Complexity: Medium; profile: Standard; wind: Low; region: Urban. Value GBP 52,000; fabrication 1814 h. Physical dimensions and structural capacity are not calculated.</x:v>
      </x:c>
      <x:c r="E63" s="13" t="str">
        <x:v>All added conditions are synthetic assumptions. Statuses follow the Protocol; no historical outcomes or independent expert validation.</x:v>
      </x:c>
      <x:c r="F63" s="20" t="str">
        <x:f>IF(R63=2,"Critical",IF(R63=1,"Clarification","Acceptable"))</x:f>
        <x:v>Acceptable</x:v>
      </x:c>
      <x:c r="G63" s="20" t="str">
        <x:f>IF(W63&lt;0,"Critical",IF(W63&lt;'Protocol'!$B$25,"Clarification","Acceptable"))</x:f>
        <x:v>Acceptable</x:v>
      </x:c>
      <x:c r="H63" s="20" t="str">
        <x:f>IF(X63&lt;'Protocol'!$B$23,"Critical",IF(X63&lt;'Protocol'!$B$24,"Clarification","Acceptable"))</x:f>
        <x:v>Acceptable</x:v>
      </x:c>
      <x:c r="I63" s="20" t="str">
        <x:f>IF(T63&gt;=2,"Critical",IF(T63=1,"Clarification","Acceptable"))</x:f>
        <x:v>Clarification</x:v>
      </x:c>
      <x:c r="J63" s="20" t="str">
        <x:f t="shared" si="2">IF(COUNTIF(F63:I63,"Critical")&gt;0,"High",IF(COUNTIF(F63:I63,"Clarification")&gt;0,"Medium","Low"))</x:f>
        <x:v>Medium</x:v>
      </x:c>
      <x:c r="K63" s="20" t="str">
        <x:f>"Technical: "&amp;S63&amp;" Schedule: readiness "&amp;V63&amp;" weeks, deadline "&amp;P63&amp;" weeks, buffer "&amp;W63&amp;" weeks ("&amp;G63&amp;"). Commercial: gross margin "&amp;TEXT(X63,"0.0%")&amp;" ("&amp;H63&amp;"). Documentation: "&amp;U63&amp;" Result: "&amp;J63&amp;IF(J63="High"," because at least one domain is Critical.",IF(J63="Medium"," because clarification is required and no domain is Critical."," because all four domains are Acceptable."))</x:f>
        <x:v>Technical: Model assumes the selected configuration fulfils the stated requirements; no unresolved technical issue. Schedule: readiness 18 weeks, deadline 25 weeks, buffer 7 weeks (Acceptable).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63" s="20" t="str">
        <x:f>IF(F63="Critical","Revise profile or connection. ",IF(F63="Clarification","Confirm connection and profile compatibility. ",""))&amp;IF(G63="Critical","Revise deadline or procurement/production plan. ",IF(G63="Clarification","Confirm capacity and protect the schedule buffer. ",""))&amp;IF(H63="Critical","Revise price or costs. ",IF(H63="Clarification","Confirm cost allowances and margin. ",""))&amp;IF(I63="Critical","Obtain drawings and performance requirements. ",IF(I63="Clarification","Confirm installation scope. ",""))&amp;IF(J63="Low","Proceed to routine tender checks.","")</x:f>
        <x:v>Confirm installation scope. </x:v>
      </x:c>
      <x:c r="M63" s="20" t="str">
        <x:f t="shared" si="3">IF(J63=B63,"Matches legacy label","Different from legacy label")</x:f>
        <x:v>Different from legacy label</x:v>
      </x:c>
      <x:c r="N63" s="19" t="n">
        <x:v>10</x:v>
      </x:c>
      <x:c r="O63" s="19" t="n">
        <x:v>240</x:v>
      </x:c>
      <x:c r="P63" s="19" t="n">
        <x:v>25</x:v>
      </x:c>
      <x:c r="Q63" s="23" t="n">
        <x:v>42640</x:v>
      </x:c>
      <x:c r="R63" s="19" t="n">
        <x:v>0</x:v>
      </x:c>
      <x:c r="S63" s="21" t="str">
        <x:f>IF(R63=2,"Model assumes the specified connection cannot fit the selected profile geometry; redesign or profile substitution is required.",IF(R63=1,"Model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63" s="19" t="n">
        <x:v>1</x:v>
      </x:c>
      <x:c r="U63" s="21" t="str">
        <x:f>IF(T63&gt;=2,"Model assumes both final drawings and performance requirements are absent, preventing confirmation of scope and price.",IF(T63=1,"Model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63" s="12" t="n">
        <x:f>N63+ROUNDUP('Original data'!F63/O63,0)</x:f>
        <x:v>18</x:v>
      </x:c>
      <x:c r="W63" s="12" t="n">
        <x:f>P63-V63</x:f>
        <x:v>7</x:v>
      </x:c>
      <x:c r="X63" s="22" t="n">
        <x:f>ROUND(('Original data'!E63-Q63)/'Original data'!E63,10)</x:f>
        <x:v>0.18</x:v>
      </x:c>
      <x:c r="Y63" s="12" t="str">
        <x:v>Synthetic domain-informed scenario; seed 20261002</x:v>
      </x:c>
      <x:c r="Z63" s="12" t="str">
        <x:v>Scenario 062</x:v>
      </x:c>
    </x:row>
    <x:row r="64" ht="140" customHeight="1">
      <x:c r="A64" s="13" t="s">
        <x:v>65</x:v>
      </x:c>
      <x:c r="B64" s="13" t="s">
        <x:v>1</x:v>
      </x:c>
      <x:c r="C64" s="13" t="s">
        <x:v>1</x:v>
      </x:c>
      <x:c r="D64" s="13" t="str">
        <x:v>Synthetic scenario 063. Elements: Windows + Doors. Systems: AWS 75.SI+ / AD UP 75. Complexity: Medium; profile: Standard; wind: High; region: Mountain. Value GBP 46,000; fabrication 541 h. Physical dimensions and structural capacity are not calculated.</x:v>
      </x:c>
      <x:c r="E64" s="13" t="str">
        <x:v>All added conditions are synthetic assumptions. Statuses follow the Protocol; no historical outcomes or independent expert validation.</x:v>
      </x:c>
      <x:c r="F64" s="20" t="str">
        <x:f>IF(R64=2,"Critical",IF(R64=1,"Clarification","Acceptable"))</x:f>
        <x:v>Acceptable</x:v>
      </x:c>
      <x:c r="G64" s="20" t="str">
        <x:f>IF(W64&lt;0,"Critical",IF(W64&lt;'Protocol'!$B$25,"Clarification","Acceptable"))</x:f>
        <x:v>Acceptable</x:v>
      </x:c>
      <x:c r="H64" s="20" t="str">
        <x:f>IF(X64&lt;'Protocol'!$B$23,"Critical",IF(X64&lt;'Protocol'!$B$24,"Clarification","Acceptable"))</x:f>
        <x:v>Critical</x:v>
      </x:c>
      <x:c r="I64" s="20" t="str">
        <x:f>IF(T64&gt;=2,"Critical",IF(T64=1,"Clarification","Acceptable"))</x:f>
        <x:v>Acceptable</x:v>
      </x:c>
      <x:c r="J64" s="20" t="str">
        <x:f t="shared" si="2">IF(COUNTIF(F64:I64,"Critical")&gt;0,"High",IF(COUNTIF(F64:I64,"Clarification")&gt;0,"Medium","Low"))</x:f>
        <x:v>High</x:v>
      </x:c>
      <x:c r="K64" s="20" t="str">
        <x:f>"Technical: "&amp;S64&amp;" Schedule: readiness "&amp;V64&amp;" weeks, deadline "&amp;P64&amp;" weeks, buffer "&amp;W64&amp;" weeks ("&amp;G64&amp;"). Commercial: gross margin "&amp;TEXT(X64,"0.0%")&amp;" ("&amp;H64&amp;"). Documentation: "&amp;U64&amp;" Result: "&amp;J64&amp;IF(J64="High"," because at least one domain is Critical.",IF(J64="Medium"," because clarification is required and no domain is Critical."," because all four domains are Acceptable."))</x:f>
        <x:v>Technical: Model assumes the selected configuration fulfils the stated requirements; no unresolved technical issue. Schedule: readiness 13 weeks, deadline 18 weeks, buffer 5 weeks (Acceptable). Commercial: gross margin 9.0% (Critical). Documentation: Model assumes drawings, installation scope and performance requirements are supplied. Result: High because at least one domain is Critical.</x:v>
      </x:c>
      <x:c r="L64" s="20" t="str">
        <x:f>IF(F64="Critical","Revise profile or connection. ",IF(F64="Clarification","Confirm connection and profile compatibility. ",""))&amp;IF(G64="Critical","Revise deadline or procurement/production plan. ",IF(G64="Clarification","Confirm capacity and protect the schedule buffer. ",""))&amp;IF(H64="Critical","Revise price or costs. ",IF(H64="Clarification","Confirm cost allowances and margin. ",""))&amp;IF(I64="Critical","Obtain drawings and performance requirements. ",IF(I64="Clarification","Confirm installation scope. ",""))&amp;IF(J64="Low","Proceed to routine tender checks.","")</x:f>
        <x:v>Revise price or costs. </x:v>
      </x:c>
      <x:c r="M64" s="20" t="str">
        <x:f t="shared" si="3">IF(J64=B64,"Matches legacy label","Different from legacy label")</x:f>
        <x:v>Different from legacy label</x:v>
      </x:c>
      <x:c r="N64" s="19" t="n">
        <x:v>10</x:v>
      </x:c>
      <x:c r="O64" s="19" t="n">
        <x:v>240</x:v>
      </x:c>
      <x:c r="P64" s="19" t="n">
        <x:v>18</x:v>
      </x:c>
      <x:c r="Q64" s="23" t="n">
        <x:v>41860</x:v>
      </x:c>
      <x:c r="R64" s="19" t="n">
        <x:v>0</x:v>
      </x:c>
      <x:c r="S64" s="21" t="str">
        <x:f>IF(R64=2,"Model assumes the specified connection cannot fit the selected profile geometry; redesign or profile substitution is required.",IF(R64=1,"Model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64" s="19" t="n">
        <x:v>0</x:v>
      </x:c>
      <x:c r="U64" s="21" t="str">
        <x:f>IF(T64&gt;=2,"Model assumes both final drawings and performance requirements are absent, preventing confirmation of scope and price.",IF(T64=1,"Model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64" s="12" t="n">
        <x:f>N64+ROUNDUP('Original data'!F64/O64,0)</x:f>
        <x:v>13</x:v>
      </x:c>
      <x:c r="W64" s="12" t="n">
        <x:f>P64-V64</x:f>
        <x:v>5</x:v>
      </x:c>
      <x:c r="X64" s="22" t="n">
        <x:f>ROUND(('Original data'!E64-Q64)/'Original data'!E64,10)</x:f>
        <x:v>0.09</x:v>
      </x:c>
      <x:c r="Y64" s="12" t="str">
        <x:v>Synthetic domain-informed scenario; seed 20261002</x:v>
      </x:c>
      <x:c r="Z64" s="12" t="str">
        <x:v>Scenario 063</x:v>
      </x:c>
    </x:row>
    <x:row r="65" ht="140" customHeight="1">
      <x:c r="A65" s="13" t="s">
        <x:v>66</x:v>
      </x:c>
      <x:c r="B65" s="13" t="s">
        <x:v>1</x:v>
      </x:c>
      <x:c r="C65" s="13" t="s">
        <x:v>7</x:v>
      </x:c>
      <x:c r="D65" s="13" t="str">
        <x:v>Synthetic scenario 064. Elements: Curtain Wall only. Systems: FWS 60. Complexity: Low; profile: Standard; wind: Low; region: Industrial. Value GBP 1,285,000; fabrication 7442 h. Physical dimensions and structural capacity are not calculated.</x:v>
      </x:c>
      <x:c r="E65" s="13" t="str">
        <x:v>All added conditions are synthetic assumptions. Statuses follow the Protocol; no historical outcomes or independent expert validation.</x:v>
      </x:c>
      <x:c r="F65" s="20" t="str">
        <x:f>IF(R65=2,"Critical",IF(R65=1,"Clarification","Acceptable"))</x:f>
        <x:v>Clarification</x:v>
      </x:c>
      <x:c r="G65" s="20" t="str">
        <x:f>IF(W65&lt;0,"Critical",IF(W65&lt;'Protocol'!$B$25,"Clarification","Acceptable"))</x:f>
        <x:v>Acceptable</x:v>
      </x:c>
      <x:c r="H65" s="20" t="str">
        <x:f>IF(X65&lt;'Protocol'!$B$23,"Critical",IF(X65&lt;'Protocol'!$B$24,"Clarification","Acceptable"))</x:f>
        <x:v>Critical</x:v>
      </x:c>
      <x:c r="I65" s="20" t="str">
        <x:f>IF(T65&gt;=2,"Critical",IF(T65=1,"Clarification","Acceptable"))</x:f>
        <x:v>Clarification</x:v>
      </x:c>
      <x:c r="J65" s="20" t="str">
        <x:f t="shared" si="2">IF(COUNTIF(F65:I65,"Critical")&gt;0,"High",IF(COUNTIF(F65:I65,"Clarification")&gt;0,"Medium","Low"))</x:f>
        <x:v>High</x:v>
      </x:c>
      <x:c r="K65" s="20" t="str">
        <x:f>"Technical: "&amp;S65&amp;" Schedule: readiness "&amp;V65&amp;" weeks, deadline "&amp;P65&amp;" weeks, buffer "&amp;W65&amp;" weeks ("&amp;G65&amp;"). Commercial: gross margin "&amp;TEXT(X65,"0.0%")&amp;" ("&amp;H65&amp;"). Documentation: "&amp;U65&amp;" Result: "&amp;J65&amp;IF(J65="High"," because at least one domain is Critical.",IF(J65="Medium","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42 weeks, deadline 47 weeks, buffer 5 weeks (Acceptable). Commercial: gross margin 7.0% (Critical). Documentation: Model assumes the installation scope requires written confirmation; drawings and performance requirements are supplied. Result: High because at least one domain is Critical.</x:v>
      </x:c>
      <x:c r="L65" s="20" t="str">
        <x:f>IF(F65="Critical","Revise profile or connection. ",IF(F65="Clarification","Confirm connection and profile compatibility. ",""))&amp;IF(G65="Critical","Revise deadline or procurement/production plan. ",IF(G65="Clarification","Confirm capacity and protect the schedule buffer. ",""))&amp;IF(H65="Critical","Revise price or costs. ",IF(H65="Clarification","Confirm cost allowances and margin. ",""))&amp;IF(I65="Critical","Obtain drawings and performance requirements. ",IF(I65="Clarification","Confirm installation scope. ",""))&amp;IF(J65="Low","Proceed to routine tender checks.","")</x:f>
        <x:v>Confirm connection and profile compatibility. Revise price or costs. Confirm installation scope. </x:v>
      </x:c>
      <x:c r="M65" s="20" t="str">
        <x:f t="shared" si="3">IF(J65=B65,"Matches legacy label","Different from legacy label")</x:f>
        <x:v>Different from legacy label</x:v>
      </x:c>
      <x:c r="N65" s="19" t="n">
        <x:v>10</x:v>
      </x:c>
      <x:c r="O65" s="19" t="n">
        <x:v>240</x:v>
      </x:c>
      <x:c r="P65" s="19" t="n">
        <x:v>47</x:v>
      </x:c>
      <x:c r="Q65" s="23" t="n">
        <x:v>1195050</x:v>
      </x:c>
      <x:c r="R65" s="19" t="n">
        <x:v>1</x:v>
      </x:c>
      <x:c r="S65" s="21" t="str">
        <x:f>IF(R65=2,"Model assumes the specified connection cannot fit the selected profile geometry; redesign or profile substitution is required.",IF(R65=1,"Model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65" s="19" t="n">
        <x:v>1</x:v>
      </x:c>
      <x:c r="U65" s="21" t="str">
        <x:f>IF(T65&gt;=2,"Model assumes both final drawings and performance requirements are absent, preventing confirmation of scope and price.",IF(T65=1,"Model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65" s="12" t="n">
        <x:f>N65+ROUNDUP('Original data'!F65/O65,0)</x:f>
        <x:v>42</x:v>
      </x:c>
      <x:c r="W65" s="12" t="n">
        <x:f>P65-V65</x:f>
        <x:v>5</x:v>
      </x:c>
      <x:c r="X65" s="22" t="n">
        <x:f>ROUND(('Original data'!E65-Q65)/'Original data'!E65,10)</x:f>
        <x:v>0.07</x:v>
      </x:c>
      <x:c r="Y65" s="12" t="str">
        <x:v>Synthetic domain-informed scenario; seed 20261002</x:v>
      </x:c>
      <x:c r="Z65" s="12" t="str">
        <x:v>Scenario 064</x:v>
      </x:c>
    </x:row>
    <x:row r="66" ht="140" customHeight="1">
      <x:c r="A66" s="13" t="s">
        <x:v>67</x:v>
      </x:c>
      <x:c r="B66" s="13" t="s">
        <x:v>1</x:v>
      </x:c>
      <x:c r="C66" s="13" t="s">
        <x:v>1</x:v>
      </x:c>
      <x:c r="D66" s="13" t="str">
        <x:v>Synthetic scenario 065. Elements: Windows + Doors. Systems: AWS 75.SI+ / AD UP 75. Complexity: Medium; profile: Standard; wind: Low; region: Coastal. Value GBP 375,000; fabrication 2134 h. Physical dimensions and structural capacity are not calculated.</x:v>
      </x:c>
      <x:c r="E66" s="13" t="str">
        <x:v>All added conditions are synthetic assumptions. Statuses follow the Protocol; no historical outcomes or independent expert validation.</x:v>
      </x:c>
      <x:c r="F66" s="20" t="str">
        <x:f>IF(R66=2,"Critical",IF(R66=1,"Clarification","Acceptable"))</x:f>
        <x:v>Acceptable</x:v>
      </x:c>
      <x:c r="G66" s="20" t="str">
        <x:f>IF(W66&lt;0,"Critical",IF(W66&lt;'Protocol'!$B$25,"Clarification","Acceptable"))</x:f>
        <x:v>Acceptable</x:v>
      </x:c>
      <x:c r="H66" s="20" t="str">
        <x:f>IF(X66&lt;'Protocol'!$B$23,"Critical",IF(X66&lt;'Protocol'!$B$24,"Clarification","Acceptable"))</x:f>
        <x:v>Critical</x:v>
      </x:c>
      <x:c r="I66" s="20" t="str">
        <x:f>IF(T66&gt;=2,"Critical",IF(T66=1,"Clarification","Acceptable"))</x:f>
        <x:v>Clarification</x:v>
      </x:c>
      <x:c r="J66" s="20" t="str">
        <x:f t="shared" ref="J66:J97" si="4">IF(COUNTIF(F66:I66,"Critical")&gt;0,"High",IF(COUNTIF(F66:I66,"Clarification")&gt;0,"Medium","Low"))</x:f>
        <x:v>High</x:v>
      </x:c>
      <x:c r="K66" s="20" t="str">
        <x:f>"Technical: "&amp;S66&amp;" Schedule: readiness "&amp;V66&amp;" weeks, deadline "&amp;P66&amp;" weeks, buffer "&amp;W66&amp;" weeks ("&amp;G66&amp;"). Commercial: gross margin "&amp;TEXT(X66,"0.0%")&amp;" ("&amp;H66&amp;"). Documentation: "&amp;U66&amp;" Result: "&amp;J66&amp;IF(J66="High"," because at least one domain is Critical.",IF(J66="Medium"," because clarification is required and no domain is Critical."," because all four domains are Acceptable."))</x:f>
        <x:v>Technical: Model assumes the selected configuration fulfils the stated requirements; no unresolved technical issue. Schedule: readiness 24 weeks, deadline 31 weeks, buffer 7 weeks (Acceptable). Commercial: gross margin 9.0% (Critical). Documentation: Model assumes the installation scope requires written confirmation; drawings and performance requirements are supplied. Result: High because at least one domain is Critical.</x:v>
      </x:c>
      <x:c r="L66" s="20" t="str">
        <x:f>IF(F66="Critical","Revise profile or connection. ",IF(F66="Clarification","Confirm connection and profile compatibility. ",""))&amp;IF(G66="Critical","Revise deadline or procurement/production plan. ",IF(G66="Clarification","Confirm capacity and protect the schedule buffer. ",""))&amp;IF(H66="Critical","Revise price or costs. ",IF(H66="Clarification","Confirm cost allowances and margin. ",""))&amp;IF(I66="Critical","Obtain drawings and performance requirements. ",IF(I66="Clarification","Confirm installation scope. ",""))&amp;IF(J66="Low","Proceed to routine tender checks.","")</x:f>
        <x:v>Revise price or costs. Confirm installation scope. </x:v>
      </x:c>
      <x:c r="M66" s="20" t="str">
        <x:f t="shared" ref="M66:M101" si="5">IF(J66=B66,"Matches legacy label","Different from legacy label")</x:f>
        <x:v>Different from legacy label</x:v>
      </x:c>
      <x:c r="N66" s="19" t="n">
        <x:v>10</x:v>
      </x:c>
      <x:c r="O66" s="19" t="n">
        <x:v>160</x:v>
      </x:c>
      <x:c r="P66" s="19" t="n">
        <x:v>31</x:v>
      </x:c>
      <x:c r="Q66" s="23" t="n">
        <x:v>341250</x:v>
      </x:c>
      <x:c r="R66" s="19" t="n">
        <x:v>0</x:v>
      </x:c>
      <x:c r="S66" s="21" t="str">
        <x:f>IF(R66=2,"Model assumes the specified connection cannot fit the selected profile geometry; redesign or profile substitution is required.",IF(R66=1,"Model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66" s="19" t="n">
        <x:v>1</x:v>
      </x:c>
      <x:c r="U66" s="21" t="str">
        <x:f>IF(T66&gt;=2,"Model assumes both final drawings and performance requirements are absent, preventing confirmation of scope and price.",IF(T66=1,"Model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66" s="12" t="n">
        <x:f>N66+ROUNDUP('Original data'!F66/O66,0)</x:f>
        <x:v>24</x:v>
      </x:c>
      <x:c r="W66" s="12" t="n">
        <x:f>P66-V66</x:f>
        <x:v>7</x:v>
      </x:c>
      <x:c r="X66" s="22" t="n">
        <x:f>ROUND(('Original data'!E66-Q66)/'Original data'!E66,10)</x:f>
        <x:v>0.09</x:v>
      </x:c>
      <x:c r="Y66" s="12" t="str">
        <x:v>Synthetic domain-informed scenario; seed 20261002</x:v>
      </x:c>
      <x:c r="Z66" s="12" t="str">
        <x:v>Scenario 065</x:v>
      </x:c>
    </x:row>
    <x:row r="67" ht="140" customHeight="1">
      <x:c r="A67" s="13" t="s">
        <x:v>68</x:v>
      </x:c>
      <x:c r="B67" s="13" t="s">
        <x:v>3</x:v>
      </x:c>
      <x:c r="C67" s="13" t="s">
        <x:v>1</x:v>
      </x:c>
      <x:c r="D67" s="13" t="str">
        <x:v>Synthetic scenario 066. Elements: Curtain Wall only. Systems: FWS 50. Complexity: Medium; profile: Non-standard; wind: High; region: Urban. Value GBP 64,000; fabrication 2447 h. Physical dimensions and structural capacity are not calculated.</x:v>
      </x:c>
      <x:c r="E67" s="13" t="str">
        <x:v>All added conditions are synthetic assumptions. Statuses follow the Protocol; no historical outcomes or independent expert validation.</x:v>
      </x:c>
      <x:c r="F67" s="20" t="str">
        <x:f>IF(R67=2,"Critical",IF(R67=1,"Clarification","Acceptable"))</x:f>
        <x:v>Clarification</x:v>
      </x:c>
      <x:c r="G67" s="20" t="str">
        <x:f>IF(W67&lt;0,"Critical",IF(W67&lt;'Protocol'!$B$25,"Clarification","Acceptable"))</x:f>
        <x:v>Clarification</x:v>
      </x:c>
      <x:c r="H67" s="20" t="str">
        <x:f>IF(X67&lt;'Protocol'!$B$23,"Critical",IF(X67&lt;'Protocol'!$B$24,"Clarification","Acceptable"))</x:f>
        <x:v>Acceptable</x:v>
      </x:c>
      <x:c r="I67" s="20" t="str">
        <x:f>IF(T67&gt;=2,"Critical",IF(T67=1,"Clarification","Acceptable"))</x:f>
        <x:v>Acceptable</x:v>
      </x:c>
      <x:c r="J67" s="20" t="str">
        <x:f t="shared" si="4">IF(COUNTIF(F67:I67,"Critical")&gt;0,"High",IF(COUNTIF(F67:I67,"Clarification")&gt;0,"Medium","Low"))</x:f>
        <x:v>Medium</x:v>
      </x:c>
      <x:c r="K67" s="20" t="str">
        <x:f>"Technical: "&amp;S67&amp;" Schedule: readiness "&amp;V67&amp;" weeks, deadline "&amp;P67&amp;" weeks, buffer "&amp;W67&amp;" weeks ("&amp;G67&amp;"). Commercial: gross margin "&amp;TEXT(X67,"0.0%")&amp;" ("&amp;H67&amp;"). Documentation: "&amp;U67&amp;" Result: "&amp;J67&amp;IF(J67="High"," because at least one domain is Critical.",IF(J67="Medium","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20 weeks, deadline 20 weeks, buffer 0 weeks (Clarification). Commercial: gross margin 26.0% (Acceptable). Documentation: Model assumes drawings, installation scope and performance requirements are supplied. Result: Medium because clarification is required and no domain is Critical.</x:v>
      </x:c>
      <x:c r="L67" s="20" t="str">
        <x:f>IF(F67="Critical","Revise profile or connection. ",IF(F67="Clarification","Confirm connection and profile compatibility. ",""))&amp;IF(G67="Critical","Revise deadline or procurement/production plan. ",IF(G67="Clarification","Confirm capacity and protect the schedule buffer. ",""))&amp;IF(H67="Critical","Revise price or costs. ",IF(H67="Clarification","Confirm cost allowances and margin. ",""))&amp;IF(I67="Critical","Obtain drawings and performance requirements. ",IF(I67="Clarification","Confirm installation scope. ",""))&amp;IF(J67="Low","Proceed to routine tender checks.","")</x:f>
        <x:v>Confirm connection and profile compatibility. Confirm capacity and protect the schedule buffer. </x:v>
      </x:c>
      <x:c r="M67" s="20" t="str">
        <x:f t="shared" si="5">IF(J67=B67,"Matches legacy label","Different from legacy label")</x:f>
        <x:v>Different from legacy label</x:v>
      </x:c>
      <x:c r="N67" s="19" t="n">
        <x:v>12</x:v>
      </x:c>
      <x:c r="O67" s="19" t="n">
        <x:v>320</x:v>
      </x:c>
      <x:c r="P67" s="19" t="n">
        <x:v>20</x:v>
      </x:c>
      <x:c r="Q67" s="23" t="n">
        <x:v>47360</x:v>
      </x:c>
      <x:c r="R67" s="19" t="n">
        <x:v>1</x:v>
      </x:c>
      <x:c r="S67" s="21" t="str">
        <x:f>IF(R67=2,"Model assumes the specified connection cannot fit the selected profile geometry; redesign or profile substitution is required.",IF(R67=1,"Model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67" s="19" t="n">
        <x:v>0</x:v>
      </x:c>
      <x:c r="U67" s="21" t="str">
        <x:f>IF(T67&gt;=2,"Model assumes both final drawings and performance requirements are absent, preventing confirmation of scope and price.",IF(T67=1,"Model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67" s="12" t="n">
        <x:f>N67+ROUNDUP('Original data'!F67/O67,0)</x:f>
        <x:v>20</x:v>
      </x:c>
      <x:c r="W67" s="12" t="n">
        <x:f>P67-V67</x:f>
        <x:v>0</x:v>
      </x:c>
      <x:c r="X67" s="22" t="n">
        <x:f>ROUND(('Original data'!E67-Q67)/'Original data'!E67,10)</x:f>
        <x:v>0.26</x:v>
      </x:c>
      <x:c r="Y67" s="12" t="str">
        <x:v>Synthetic domain-informed scenario; seed 20261002</x:v>
      </x:c>
      <x:c r="Z67" s="12" t="str">
        <x:v>Scenario 066</x:v>
      </x:c>
    </x:row>
    <x:row r="68" ht="140" customHeight="1">
      <x:c r="A68" s="13" t="s">
        <x:v>69</x:v>
      </x:c>
      <x:c r="B68" s="13" t="s">
        <x:v>1</x:v>
      </x:c>
      <x:c r="C68" s="13" t="s">
        <x:v>1</x:v>
      </x:c>
      <x:c r="D68" s="13" t="str">
        <x:v>Synthetic scenario 067. Elements: Windows + Doors + Curtain Wall. Systems: AWS 75.SI+ / FWS 50 / AD UP 75. Complexity: High; profile: Standard; wind: Low; region: Mountain. Value GBP 2,803,000; fabrication 10831 h. Physical dimensions and structural capacity are not calculated.</x:v>
      </x:c>
      <x:c r="E68" s="13" t="str">
        <x:v>All added conditions are synthetic assumptions. Statuses follow the Protocol; no historical outcomes or independent expert validation.</x:v>
      </x:c>
      <x:c r="F68" s="20" t="str">
        <x:f>IF(R68=2,"Critical",IF(R68=1,"Clarification","Acceptable"))</x:f>
        <x:v>Acceptable</x:v>
      </x:c>
      <x:c r="G68" s="20" t="str">
        <x:f>IF(W68&lt;0,"Critical",IF(W68&lt;'Protocol'!$B$25,"Clarification","Acceptable"))</x:f>
        <x:v>Acceptable</x:v>
      </x:c>
      <x:c r="H68" s="20" t="str">
        <x:f>IF(X68&lt;'Protocol'!$B$23,"Critical",IF(X68&lt;'Protocol'!$B$24,"Clarification","Acceptable"))</x:f>
        <x:v>Acceptable</x:v>
      </x:c>
      <x:c r="I68" s="20" t="str">
        <x:f>IF(T68&gt;=2,"Critical",IF(T68=1,"Clarification","Acceptable"))</x:f>
        <x:v>Acceptable</x:v>
      </x:c>
      <x:c r="J68" s="20" t="str">
        <x:f t="shared" si="4">IF(COUNTIF(F68:I68,"Critical")&gt;0,"High",IF(COUNTIF(F68:I68,"Clarification")&gt;0,"Medium","Low"))</x:f>
        <x:v>Low</x:v>
      </x:c>
      <x:c r="K68" s="20" t="str">
        <x:f>"Technical: "&amp;S68&amp;" Schedule: readiness "&amp;V68&amp;" weeks, deadline "&amp;P68&amp;" weeks, buffer "&amp;W68&amp;" weeks ("&amp;G68&amp;"). Commercial: gross margin "&amp;TEXT(X68,"0.0%")&amp;" ("&amp;H68&amp;"). Documentation: "&amp;U68&amp;" Result: "&amp;J68&amp;IF(J68="High"," because at least one domain is Critical.",IF(J68="Medium"," because clarification is required and no domain is Critical."," because all four domains are Acceptable."))</x:f>
        <x:v>Technical: Model assumes the selected configuration fulfils the stated requirements; no unresolved technical issue. Schedule: readiness 78 weeks, deadline 83 weeks, buffer 5 weeks (Acceptable). Commercial: gross margin 26.0% (Acceptable). Documentation: Model assumes drawings, installation scope and performance requirements are supplied. Result: Low because all four domains are Acceptable.</x:v>
      </x:c>
      <x:c r="L68" s="20" t="str">
        <x:f>IF(F68="Critical","Revise profile or connection. ",IF(F68="Clarification","Confirm connection and profile compatibility. ",""))&amp;IF(G68="Critical","Revise deadline or procurement/production plan. ",IF(G68="Clarification","Confirm capacity and protect the schedule buffer. ",""))&amp;IF(H68="Critical","Revise price or costs. ",IF(H68="Clarification","Confirm cost allowances and margin. ",""))&amp;IF(I68="Critical","Obtain drawings and performance requirements. ",IF(I68="Clarification","Confirm installation scope. ",""))&amp;IF(J68="Low","Proceed to routine tender checks.","")</x:f>
        <x:v>Proceed to routine tender checks.</x:v>
      </x:c>
      <x:c r="M68" s="20" t="str">
        <x:f t="shared" si="5">IF(J68=B68,"Matches legacy label","Different from legacy label")</x:f>
        <x:v>Different from legacy label</x:v>
      </x:c>
      <x:c r="N68" s="19" t="n">
        <x:v>10</x:v>
      </x:c>
      <x:c r="O68" s="19" t="n">
        <x:v>160</x:v>
      </x:c>
      <x:c r="P68" s="19" t="n">
        <x:v>83</x:v>
      </x:c>
      <x:c r="Q68" s="23" t="n">
        <x:v>2074220</x:v>
      </x:c>
      <x:c r="R68" s="19" t="n">
        <x:v>0</x:v>
      </x:c>
      <x:c r="S68" s="21" t="str">
        <x:f>IF(R68=2,"Model assumes the specified connection cannot fit the selected profile geometry; redesign or profile substitution is required.",IF(R68=1,"Model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68" s="19" t="n">
        <x:v>0</x:v>
      </x:c>
      <x:c r="U68" s="21" t="str">
        <x:f>IF(T68&gt;=2,"Model assumes both final drawings and performance requirements are absent, preventing confirmation of scope and price.",IF(T68=1,"Model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68" s="12" t="n">
        <x:f>N68+ROUNDUP('Original data'!F68/O68,0)</x:f>
        <x:v>78</x:v>
      </x:c>
      <x:c r="W68" s="12" t="n">
        <x:f>P68-V68</x:f>
        <x:v>5</x:v>
      </x:c>
      <x:c r="X68" s="22" t="n">
        <x:f>ROUND(('Original data'!E68-Q68)/'Original data'!E68,10)</x:f>
        <x:v>0.26</x:v>
      </x:c>
      <x:c r="Y68" s="12" t="str">
        <x:v>Synthetic domain-informed scenario; seed 20261002</x:v>
      </x:c>
      <x:c r="Z68" s="12" t="str">
        <x:v>Scenario 067</x:v>
      </x:c>
    </x:row>
    <x:row r="69" ht="140" customHeight="1">
      <x:c r="A69" s="13" t="s">
        <x:v>70</x:v>
      </x:c>
      <x:c r="B69" s="13" t="s">
        <x:v>3</x:v>
      </x:c>
      <x:c r="C69" s="13" t="s">
        <x:v>1</x:v>
      </x:c>
      <x:c r="D69" s="13" t="str">
        <x:v>Synthetic scenario 068. Elements: Windows + Doors + Curtain Wall. Systems: AWS 75.SI+ / FWS 50 / AD UP 75. Complexity: High; profile: Standard; wind: High; region: Industrial. Value GBP 57,000; fabrication 1330 h. Physical dimensions and structural capacity are not calculated.</x:v>
      </x:c>
      <x:c r="E69" s="13" t="str">
        <x:v>All added conditions are synthetic assumptions. Statuses follow the Protocol; no historical outcomes or independent expert validation.</x:v>
      </x:c>
      <x:c r="F69" s="20" t="str">
        <x:f>IF(R69=2,"Critical",IF(R69=1,"Clarification","Acceptable"))</x:f>
        <x:v>Acceptable</x:v>
      </x:c>
      <x:c r="G69" s="20" t="str">
        <x:f>IF(W69&lt;0,"Critical",IF(W69&lt;'Protocol'!$B$25,"Clarification","Acceptable"))</x:f>
        <x:v>Acceptable</x:v>
      </x:c>
      <x:c r="H69" s="20" t="str">
        <x:f>IF(X69&lt;'Protocol'!$B$23,"Critical",IF(X69&lt;'Protocol'!$B$24,"Clarification","Acceptable"))</x:f>
        <x:v>Critical</x:v>
      </x:c>
      <x:c r="I69" s="20" t="str">
        <x:f>IF(T69&gt;=2,"Critical",IF(T69=1,"Clarification","Acceptable"))</x:f>
        <x:v>Acceptable</x:v>
      </x:c>
      <x:c r="J69" s="20" t="str">
        <x:f t="shared" si="4">IF(COUNTIF(F69:I69,"Critical")&gt;0,"High",IF(COUNTIF(F69:I69,"Clarification")&gt;0,"Medium","Low"))</x:f>
        <x:v>High</x:v>
      </x:c>
      <x:c r="K69" s="20" t="str">
        <x:f>"Technical: "&amp;S69&amp;" Schedule: readiness "&amp;V69&amp;" weeks, deadline "&amp;P69&amp;" weeks, buffer "&amp;W69&amp;" weeks ("&amp;G69&amp;"). Commercial: gross margin "&amp;TEXT(X69,"0.0%")&amp;" ("&amp;H69&amp;"). Documentation: "&amp;U69&amp;" Result: "&amp;J69&amp;IF(J69="High"," because at least one domain is Critical.",IF(J69="Medium"," because clarification is required and no domain is Critical."," because all four domains are Acceptable."))</x:f>
        <x:v>Technical: Model assumes the selected configuration fulfils the stated requirements; no unresolved technical issue. Schedule: readiness 16 weeks, deadline 21 weeks, buffer 5 weeks (Acceptable). Commercial: gross margin 9.0% (Critical). Documentation: Model assumes drawings, installation scope and performance requirements are supplied. Result: High because at least one domain is Critical.</x:v>
      </x:c>
      <x:c r="L69" s="20" t="str">
        <x:f>IF(F69="Critical","Revise profile or connection. ",IF(F69="Clarification","Confirm connection and profile compatibility. ",""))&amp;IF(G69="Critical","Revise deadline or procurement/production plan. ",IF(G69="Clarification","Confirm capacity and protect the schedule buffer. ",""))&amp;IF(H69="Critical","Revise price or costs. ",IF(H69="Clarification","Confirm cost allowances and margin. ",""))&amp;IF(I69="Critical","Obtain drawings and performance requirements. ",IF(I69="Clarification","Confirm installation scope. ",""))&amp;IF(J69="Low","Proceed to routine tender checks.","")</x:f>
        <x:v>Revise price or costs. </x:v>
      </x:c>
      <x:c r="M69" s="20" t="str">
        <x:f t="shared" si="5">IF(J69=B69,"Matches legacy label","Different from legacy label")</x:f>
        <x:v>Matches legacy label</x:v>
      </x:c>
      <x:c r="N69" s="19" t="n">
        <x:v>10</x:v>
      </x:c>
      <x:c r="O69" s="19" t="n">
        <x:v>240</x:v>
      </x:c>
      <x:c r="P69" s="19" t="n">
        <x:v>21</x:v>
      </x:c>
      <x:c r="Q69" s="23" t="n">
        <x:v>51870</x:v>
      </x:c>
      <x:c r="R69" s="19" t="n">
        <x:v>0</x:v>
      </x:c>
      <x:c r="S69" s="21" t="str">
        <x:f>IF(R69=2,"Model assumes the specified connection cannot fit the selected profile geometry; redesign or profile substitution is required.",IF(R69=1,"Model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69" s="19" t="n">
        <x:v>0</x:v>
      </x:c>
      <x:c r="U69" s="21" t="str">
        <x:f>IF(T69&gt;=2,"Model assumes both final drawings and performance requirements are absent, preventing confirmation of scope and price.",IF(T69=1,"Model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69" s="12" t="n">
        <x:f>N69+ROUNDUP('Original data'!F69/O69,0)</x:f>
        <x:v>16</x:v>
      </x:c>
      <x:c r="W69" s="12" t="n">
        <x:f>P69-V69</x:f>
        <x:v>5</x:v>
      </x:c>
      <x:c r="X69" s="22" t="n">
        <x:f>ROUND(('Original data'!E69-Q69)/'Original data'!E69,10)</x:f>
        <x:v>0.09</x:v>
      </x:c>
      <x:c r="Y69" s="12" t="str">
        <x:v>Synthetic domain-informed scenario; seed 20261002</x:v>
      </x:c>
      <x:c r="Z69" s="12" t="str">
        <x:v>Scenario 068</x:v>
      </x:c>
    </x:row>
    <x:row r="70" ht="140" customHeight="1">
      <x:c r="A70" s="13" t="s">
        <x:v>71</x:v>
      </x:c>
      <x:c r="B70" s="13" t="s">
        <x:v>3</x:v>
      </x:c>
      <x:c r="C70" s="13" t="s">
        <x:v>3</x:v>
      </x:c>
      <x:c r="D70" s="13" t="str">
        <x:v>Synthetic scenario 069. Elements: Windows + Doors (High Insulation). Systems: AWS 75.SI+ / ASE 80.HI. Complexity: High; profile: Non-standard; wind: High; region: Urban. Value GBP 130,000; fabrication 498 h. Physical dimensions and structural capacity are not calculated.</x:v>
      </x:c>
      <x:c r="E70" s="13" t="str">
        <x:v>All added conditions are synthetic assumptions. Statuses follow the Protocol; no historical outcomes or independent expert validation.</x:v>
      </x:c>
      <x:c r="F70" s="20" t="str">
        <x:f>IF(R70=2,"Critical",IF(R70=1,"Clarification","Acceptable"))</x:f>
        <x:v>Clarification</x:v>
      </x:c>
      <x:c r="G70" s="20" t="str">
        <x:f>IF(W70&lt;0,"Critical",IF(W70&lt;'Protocol'!$B$25,"Clarification","Acceptable"))</x:f>
        <x:v>Clarification</x:v>
      </x:c>
      <x:c r="H70" s="20" t="str">
        <x:f>IF(X70&lt;'Protocol'!$B$23,"Critical",IF(X70&lt;'Protocol'!$B$24,"Clarification","Acceptable"))</x:f>
        <x:v>Acceptable</x:v>
      </x:c>
      <x:c r="I70" s="20" t="str">
        <x:f>IF(T70&gt;=2,"Critical",IF(T70=1,"Clarification","Acceptable"))</x:f>
        <x:v>Acceptable</x:v>
      </x:c>
      <x:c r="J70" s="20" t="str">
        <x:f t="shared" si="4">IF(COUNTIF(F70:I70,"Critical")&gt;0,"High",IF(COUNTIF(F70:I70,"Clarification")&gt;0,"Medium","Low"))</x:f>
        <x:v>Medium</x:v>
      </x:c>
      <x:c r="K70" s="20" t="str">
        <x:f>"Technical: "&amp;S70&amp;" Schedule: readiness "&amp;V70&amp;" weeks, deadline "&amp;P70&amp;" weeks, buffer "&amp;W70&amp;" weeks ("&amp;G70&amp;"). Commercial: gross margin "&amp;TEXT(X70,"0.0%")&amp;" ("&amp;H70&amp;"). Documentation: "&amp;U70&amp;" Result: "&amp;J70&amp;IF(J70="High"," because at least one domain is Critical.",IF(J70="Medium","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15 weeks, deadline 15 weeks, buffer 0 weeks (Clarification). Commercial: gross margin 22.0% (Acceptable). Documentation: Model assumes drawings, installation scope and performance requirements are supplied. Result: Medium because clarification is required and no domain is Critical.</x:v>
      </x:c>
      <x:c r="L70" s="20" t="str">
        <x:f>IF(F70="Critical","Revise profile or connection. ",IF(F70="Clarification","Confirm connection and profile compatibility. ",""))&amp;IF(G70="Critical","Revise deadline or procurement/production plan. ",IF(G70="Clarification","Confirm capacity and protect the schedule buffer. ",""))&amp;IF(H70="Critical","Revise price or costs. ",IF(H70="Clarification","Confirm cost allowances and margin. ",""))&amp;IF(I70="Critical","Obtain drawings and performance requirements. ",IF(I70="Clarification","Confirm installation scope. ",""))&amp;IF(J70="Low","Proceed to routine tender checks.","")</x:f>
        <x:v>Confirm connection and profile compatibility. Confirm capacity and protect the schedule buffer. </x:v>
      </x:c>
      <x:c r="M70" s="20" t="str">
        <x:f t="shared" si="5">IF(J70=B70,"Matches legacy label","Different from legacy label")</x:f>
        <x:v>Different from legacy label</x:v>
      </x:c>
      <x:c r="N70" s="19" t="n">
        <x:v>12</x:v>
      </x:c>
      <x:c r="O70" s="19" t="n">
        <x:v>240</x:v>
      </x:c>
      <x:c r="P70" s="19" t="n">
        <x:v>15</x:v>
      </x:c>
      <x:c r="Q70" s="23" t="n">
        <x:v>101400</x:v>
      </x:c>
      <x:c r="R70" s="19" t="n">
        <x:v>1</x:v>
      </x:c>
      <x:c r="S70" s="21" t="str">
        <x:f>IF(R70=2,"Model assumes the specified connection cannot fit the selected profile geometry; redesign or profile substitution is required.",IF(R70=1,"Model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70" s="19" t="n">
        <x:v>0</x:v>
      </x:c>
      <x:c r="U70" s="21" t="str">
        <x:f>IF(T70&gt;=2,"Model assumes both final drawings and performance requirements are absent, preventing confirmation of scope and price.",IF(T70=1,"Model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70" s="12" t="n">
        <x:f>N70+ROUNDUP('Original data'!F70/O70,0)</x:f>
        <x:v>15</x:v>
      </x:c>
      <x:c r="W70" s="12" t="n">
        <x:f>P70-V70</x:f>
        <x:v>0</x:v>
      </x:c>
      <x:c r="X70" s="22" t="n">
        <x:f>ROUND(('Original data'!E70-Q70)/'Original data'!E70,10)</x:f>
        <x:v>0.22</x:v>
      </x:c>
      <x:c r="Y70" s="12" t="str">
        <x:v>Synthetic domain-informed scenario; seed 20261002</x:v>
      </x:c>
      <x:c r="Z70" s="12" t="str">
        <x:v>Scenario 069</x:v>
      </x:c>
    </x:row>
    <x:row r="71" ht="140" customHeight="1">
      <x:c r="A71" s="13" t="s">
        <x:v>72</x:v>
      </x:c>
      <x:c r="B71" s="13" t="s">
        <x:v>3</x:v>
      </x:c>
      <x:c r="C71" s="13" t="s">
        <x:v>3</x:v>
      </x:c>
      <x:c r="D71" s="13" t="str">
        <x:v>Synthetic scenario 070. Elements: Windows + Curtain Wall. Systems: AWS 75.SI+ / FWS 50. Complexity: Medium; profile: Non-standard; wind: High; region: Urban. Value GBP 593,000; fabrication 4600 h. Physical dimensions and structural capacity are not calculated.</x:v>
      </x:c>
      <x:c r="E71" s="13" t="str">
        <x:v>All added conditions are synthetic assumptions. Statuses follow the Protocol; no historical outcomes or independent expert validation.</x:v>
      </x:c>
      <x:c r="F71" s="20" t="str">
        <x:f>IF(R71=2,"Critical",IF(R71=1,"Clarification","Acceptable"))</x:f>
        <x:v>Acceptable</x:v>
      </x:c>
      <x:c r="G71" s="20" t="str">
        <x:f>IF(W71&lt;0,"Critical",IF(W71&lt;'Protocol'!$B$25,"Clarification","Acceptable"))</x:f>
        <x:v>Acceptable</x:v>
      </x:c>
      <x:c r="H71" s="20" t="str">
        <x:f>IF(X71&lt;'Protocol'!$B$23,"Critical",IF(X71&lt;'Protocol'!$B$24,"Clarification","Acceptable"))</x:f>
        <x:v>Clarification</x:v>
      </x:c>
      <x:c r="I71" s="20" t="str">
        <x:f>IF(T71&gt;=2,"Critical",IF(T71=1,"Clarification","Acceptable"))</x:f>
        <x:v>Acceptable</x:v>
      </x:c>
      <x:c r="J71" s="20" t="str">
        <x:f t="shared" si="4">IF(COUNTIF(F71:I71,"Critical")&gt;0,"High",IF(COUNTIF(F71:I71,"Clarification")&gt;0,"Medium","Low"))</x:f>
        <x:v>Medium</x:v>
      </x:c>
      <x:c r="K71" s="20" t="str">
        <x:f>"Technical: "&amp;S71&amp;" Schedule: readiness "&amp;V71&amp;" weeks, deadline "&amp;P71&amp;" weeks, buffer "&amp;W71&amp;" weeks ("&amp;G71&amp;"). Commercial: gross margin "&amp;TEXT(X71,"0.0%")&amp;" ("&amp;H71&amp;"). Documentation: "&amp;U71&amp;" Result: "&amp;J71&amp;IF(J71="High"," because at least one domain is Critical.",IF(J71="Medium"," because clarification is required and no domain is Critical."," because all four domains are Acceptable."))</x:f>
        <x:v>Technical: Model assumes the selected configuration fulfils the stated requirements; no unresolved technical issue. Schedule: readiness 32 weeks, deadline 37 weeks, buffer 5 weeks (Acceptable). Commercial: gross margin 12.0% (Clarification). Documentation: Model assumes drawings, installation scope and performance requirements are supplied. Result: Medium because clarification is required and no domain is Critical.</x:v>
      </x:c>
      <x:c r="L71" s="20" t="str">
        <x:f>IF(F71="Critical","Revise profile or connection. ",IF(F71="Clarification","Confirm connection and profile compatibility. ",""))&amp;IF(G71="Critical","Revise deadline or procurement/production plan. ",IF(G71="Clarification","Confirm capacity and protect the schedule buffer. ",""))&amp;IF(H71="Critical","Revise price or costs. ",IF(H71="Clarification","Confirm cost allowances and margin. ",""))&amp;IF(I71="Critical","Obtain drawings and performance requirements. ",IF(I71="Clarification","Confirm installation scope. ",""))&amp;IF(J71="Low","Proceed to routine tender checks.","")</x:f>
        <x:v>Confirm cost allowances and margin. </x:v>
      </x:c>
      <x:c r="M71" s="20" t="str">
        <x:f t="shared" si="5">IF(J71=B71,"Matches legacy label","Different from legacy label")</x:f>
        <x:v>Different from legacy label</x:v>
      </x:c>
      <x:c r="N71" s="19" t="n">
        <x:v>12</x:v>
      </x:c>
      <x:c r="O71" s="19" t="n">
        <x:v>240</x:v>
      </x:c>
      <x:c r="P71" s="19" t="n">
        <x:v>37</x:v>
      </x:c>
      <x:c r="Q71" s="23" t="n">
        <x:v>521840</x:v>
      </x:c>
      <x:c r="R71" s="19" t="n">
        <x:v>0</x:v>
      </x:c>
      <x:c r="S71" s="21" t="str">
        <x:f>IF(R71=2,"Model assumes the specified connection cannot fit the selected profile geometry; redesign or profile substitution is required.",IF(R71=1,"Model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71" s="19" t="n">
        <x:v>0</x:v>
      </x:c>
      <x:c r="U71" s="21" t="str">
        <x:f>IF(T71&gt;=2,"Model assumes both final drawings and performance requirements are absent, preventing confirmation of scope and price.",IF(T71=1,"Model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71" s="12" t="n">
        <x:f>N71+ROUNDUP('Original data'!F71/O71,0)</x:f>
        <x:v>32</x:v>
      </x:c>
      <x:c r="W71" s="12" t="n">
        <x:f>P71-V71</x:f>
        <x:v>5</x:v>
      </x:c>
      <x:c r="X71" s="22" t="n">
        <x:f>ROUND(('Original data'!E71-Q71)/'Original data'!E71,10)</x:f>
        <x:v>0.12</x:v>
      </x:c>
      <x:c r="Y71" s="12" t="str">
        <x:v>Synthetic domain-informed scenario; seed 20261002</x:v>
      </x:c>
      <x:c r="Z71" s="12" t="str">
        <x:v>Scenario 070</x:v>
      </x:c>
    </x:row>
    <x:row r="72" ht="140" customHeight="1">
      <x:c r="A72" s="13" t="s">
        <x:v>73</x:v>
      </x:c>
      <x:c r="B72" s="13" t="s">
        <x:v>1</x:v>
      </x:c>
      <x:c r="C72" s="13" t="s">
        <x:v>1</x:v>
      </x:c>
      <x:c r="D72" s="13" t="str">
        <x:v>Synthetic scenario 071. Elements: Windows + Doors. Systems: AWS 75.SI+ / AD UP 75. Complexity: Medium; profile: Standard; wind: Low; region: Industrial. Value GBP 435,000; fabrication 4987 h. Physical dimensions and structural capacity are not calculated.</x:v>
      </x:c>
      <x:c r="E72" s="13" t="str">
        <x:v>All added conditions are synthetic assumptions. Statuses follow the Protocol; no historical outcomes or independent expert validation.</x:v>
      </x:c>
      <x:c r="F72" s="20" t="str">
        <x:f>IF(R72=2,"Critical",IF(R72=1,"Clarification","Acceptable"))</x:f>
        <x:v>Acceptable</x:v>
      </x:c>
      <x:c r="G72" s="20" t="str">
        <x:f>IF(W72&lt;0,"Critical",IF(W72&lt;'Protocol'!$B$25,"Clarification","Acceptable"))</x:f>
        <x:v>Acceptable</x:v>
      </x:c>
      <x:c r="H72" s="20" t="str">
        <x:f>IF(X72&lt;'Protocol'!$B$23,"Critical",IF(X72&lt;'Protocol'!$B$24,"Clarification","Acceptable"))</x:f>
        <x:v>Acceptable</x:v>
      </x:c>
      <x:c r="I72" s="20" t="str">
        <x:f>IF(T72&gt;=2,"Critical",IF(T72=1,"Clarification","Acceptable"))</x:f>
        <x:v>Acceptable</x:v>
      </x:c>
      <x:c r="J72" s="20" t="str">
        <x:f t="shared" si="4">IF(COUNTIF(F72:I72,"Critical")&gt;0,"High",IF(COUNTIF(F72:I72,"Clarification")&gt;0,"Medium","Low"))</x:f>
        <x:v>Low</x:v>
      </x:c>
      <x:c r="K72" s="20" t="str">
        <x:f>"Technical: "&amp;S72&amp;" Schedule: readiness "&amp;V72&amp;" weeks, deadline "&amp;P72&amp;" weeks, buffer "&amp;W72&amp;" weeks ("&amp;G72&amp;"). Commercial: gross margin "&amp;TEXT(X72,"0.0%")&amp;" ("&amp;H72&amp;"). Documentation: "&amp;U72&amp;" Result: "&amp;J72&amp;IF(J72="High"," because at least one domain is Critical.",IF(J72="Medium"," because clarification is required and no domain is Critical."," because all four domains are Acceptable."))</x:f>
        <x:v>Technical: Model assumes the selected configuration fulfils the stated requirements; no unresolved technical issue. Schedule: readiness 42 weeks, deadline 45 weeks, buffer 3 weeks (Acceptable). Commercial: gross margin 26.0% (Acceptable). Documentation: Model assumes drawings, installation scope and performance requirements are supplied. Result: Low because all four domains are Acceptable.</x:v>
      </x:c>
      <x:c r="L72" s="20" t="str">
        <x:f>IF(F72="Critical","Revise profile or connection. ",IF(F72="Clarification","Confirm connection and profile compatibility. ",""))&amp;IF(G72="Critical","Revise deadline or procurement/production plan. ",IF(G72="Clarification","Confirm capacity and protect the schedule buffer. ",""))&amp;IF(H72="Critical","Revise price or costs. ",IF(H72="Clarification","Confirm cost allowances and margin. ",""))&amp;IF(I72="Critical","Obtain drawings and performance requirements. ",IF(I72="Clarification","Confirm installation scope. ",""))&amp;IF(J72="Low","Proceed to routine tender checks.","")</x:f>
        <x:v>Proceed to routine tender checks.</x:v>
      </x:c>
      <x:c r="M72" s="20" t="str">
        <x:f t="shared" si="5">IF(J72=B72,"Matches legacy label","Different from legacy label")</x:f>
        <x:v>Different from legacy label</x:v>
      </x:c>
      <x:c r="N72" s="19" t="n">
        <x:v>10</x:v>
      </x:c>
      <x:c r="O72" s="19" t="n">
        <x:v>160</x:v>
      </x:c>
      <x:c r="P72" s="19" t="n">
        <x:v>45</x:v>
      </x:c>
      <x:c r="Q72" s="23" t="n">
        <x:v>321900</x:v>
      </x:c>
      <x:c r="R72" s="19" t="n">
        <x:v>0</x:v>
      </x:c>
      <x:c r="S72" s="21" t="str">
        <x:f>IF(R72=2,"Model assumes the specified connection cannot fit the selected profile geometry; redesign or profile substitution is required.",IF(R72=1,"Model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72" s="19" t="n">
        <x:v>0</x:v>
      </x:c>
      <x:c r="U72" s="21" t="str">
        <x:f>IF(T72&gt;=2,"Model assumes both final drawings and performance requirements are absent, preventing confirmation of scope and price.",IF(T72=1,"Model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72" s="12" t="n">
        <x:f>N72+ROUNDUP('Original data'!F72/O72,0)</x:f>
        <x:v>42</x:v>
      </x:c>
      <x:c r="W72" s="12" t="n">
        <x:f>P72-V72</x:f>
        <x:v>3</x:v>
      </x:c>
      <x:c r="X72" s="22" t="n">
        <x:f>ROUND(('Original data'!E72-Q72)/'Original data'!E72,10)</x:f>
        <x:v>0.26</x:v>
      </x:c>
      <x:c r="Y72" s="12" t="str">
        <x:v>Synthetic domain-informed scenario; seed 20261002</x:v>
      </x:c>
      <x:c r="Z72" s="12" t="str">
        <x:v>Scenario 071</x:v>
      </x:c>
    </x:row>
    <x:row r="73" ht="140" customHeight="1">
      <x:c r="A73" s="13" t="s">
        <x:v>74</x:v>
      </x:c>
      <x:c r="B73" s="13" t="s">
        <x:v>3</x:v>
      </x:c>
      <x:c r="C73" s="13" t="s">
        <x:v>1</x:v>
      </x:c>
      <x:c r="D73" s="13" t="str">
        <x:v>Synthetic scenario 072. Elements: Windows + Doors. Systems: AWS 75.SI+ / AD UP 75. Complexity: Medium; profile: Non-standard; wind: High; region: Industrial. Value GBP 105,000; fabrication 674 h. Physical dimensions and structural capacity are not calculated.</x:v>
      </x:c>
      <x:c r="E73" s="13" t="str">
        <x:v>All added conditions are synthetic assumptions. Statuses follow the Protocol; no historical outcomes or independent expert validation.</x:v>
      </x:c>
      <x:c r="F73" s="20" t="str">
        <x:f>IF(R73=2,"Critical",IF(R73=1,"Clarification","Acceptable"))</x:f>
        <x:v>Acceptable</x:v>
      </x:c>
      <x:c r="G73" s="20" t="str">
        <x:f>IF(W73&lt;0,"Critical",IF(W73&lt;'Protocol'!$B$25,"Clarification","Acceptable"))</x:f>
        <x:v>Acceptable</x:v>
      </x:c>
      <x:c r="H73" s="20" t="str">
        <x:f>IF(X73&lt;'Protocol'!$B$23,"Critical",IF(X73&lt;'Protocol'!$B$24,"Clarification","Acceptable"))</x:f>
        <x:v>Acceptable</x:v>
      </x:c>
      <x:c r="I73" s="20" t="str">
        <x:f>IF(T73&gt;=2,"Critical",IF(T73=1,"Clarification","Acceptable"))</x:f>
        <x:v>Acceptable</x:v>
      </x:c>
      <x:c r="J73" s="20" t="str">
        <x:f t="shared" si="4">IF(COUNTIF(F73:I73,"Critical")&gt;0,"High",IF(COUNTIF(F73:I73,"Clarification")&gt;0,"Medium","Low"))</x:f>
        <x:v>Low</x:v>
      </x:c>
      <x:c r="K73" s="20" t="str">
        <x:f>"Technical: "&amp;S73&amp;" Schedule: readiness "&amp;V73&amp;" weeks, deadline "&amp;P73&amp;" weeks, buffer "&amp;W73&amp;" weeks ("&amp;G73&amp;"). Commercial: gross margin "&amp;TEXT(X73,"0.0%")&amp;" ("&amp;H73&amp;"). Documentation: "&amp;U73&amp;" Result: "&amp;J73&amp;IF(J73="High"," because at least one domain is Critical.",IF(J73="Medium"," because clarification is required and no domain is Critical."," because all four domains are Acceptable."))</x:f>
        <x:v>Technical: Model assumes the selected configuration fulfils the stated requirements; no unresolved technical issue. Schedule: readiness 15 weeks, deadline 20 weeks, buffer 5 weeks (Acceptable). Commercial: gross margin 22.0% (Acceptable). Documentation: Model assumes drawings, installation scope and performance requirements are supplied. Result: Low because all four domains are Acceptable.</x:v>
      </x:c>
      <x:c r="L73" s="20" t="str">
        <x:f>IF(F73="Critical","Revise profile or connection. ",IF(F73="Clarification","Confirm connection and profile compatibility. ",""))&amp;IF(G73="Critical","Revise deadline or procurement/production plan. ",IF(G73="Clarification","Confirm capacity and protect the schedule buffer. ",""))&amp;IF(H73="Critical","Revise price or costs. ",IF(H73="Clarification","Confirm cost allowances and margin. ",""))&amp;IF(I73="Critical","Obtain drawings and performance requirements. ",IF(I73="Clarification","Confirm installation scope. ",""))&amp;IF(J73="Low","Proceed to routine tender checks.","")</x:f>
        <x:v>Proceed to routine tender checks.</x:v>
      </x:c>
      <x:c r="M73" s="20" t="str">
        <x:f t="shared" si="5">IF(J73=B73,"Matches legacy label","Different from legacy label")</x:f>
        <x:v>Different from legacy label</x:v>
      </x:c>
      <x:c r="N73" s="19" t="n">
        <x:v>12</x:v>
      </x:c>
      <x:c r="O73" s="19" t="n">
        <x:v>320</x:v>
      </x:c>
      <x:c r="P73" s="19" t="n">
        <x:v>20</x:v>
      </x:c>
      <x:c r="Q73" s="23" t="n">
        <x:v>81900</x:v>
      </x:c>
      <x:c r="R73" s="19" t="n">
        <x:v>0</x:v>
      </x:c>
      <x:c r="S73" s="21" t="str">
        <x:f>IF(R73=2,"Model assumes the specified connection cannot fit the selected profile geometry; redesign or profile substitution is required.",IF(R73=1,"Model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73" s="19" t="n">
        <x:v>0</x:v>
      </x:c>
      <x:c r="U73" s="21" t="str">
        <x:f>IF(T73&gt;=2,"Model assumes both final drawings and performance requirements are absent, preventing confirmation of scope and price.",IF(T73=1,"Model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73" s="12" t="n">
        <x:f>N73+ROUNDUP('Original data'!F73/O73,0)</x:f>
        <x:v>15</x:v>
      </x:c>
      <x:c r="W73" s="12" t="n">
        <x:f>P73-V73</x:f>
        <x:v>5</x:v>
      </x:c>
      <x:c r="X73" s="22" t="n">
        <x:f>ROUND(('Original data'!E73-Q73)/'Original data'!E73,10)</x:f>
        <x:v>0.22</x:v>
      </x:c>
      <x:c r="Y73" s="12" t="str">
        <x:v>Synthetic domain-informed scenario; seed 20261002</x:v>
      </x:c>
      <x:c r="Z73" s="12" t="str">
        <x:v>Scenario 072</x:v>
      </x:c>
    </x:row>
    <x:row r="74" ht="140" customHeight="1">
      <x:c r="A74" s="13" t="s">
        <x:v>75</x:v>
      </x:c>
      <x:c r="B74" s="13" t="s">
        <x:v>3</x:v>
      </x:c>
      <x:c r="C74" s="13" t="s">
        <x:v>3</x:v>
      </x:c>
      <x:c r="D74" s="13" t="str">
        <x:v>Synthetic scenario 073. Elements: Windows + Doors (High Insulation). Systems: AWS 75.SI+ / ASE 80.HI. Complexity: High; profile: Non-standard; wind: High; region: Urban. Value GBP 760,000; fabrication 10952 h. Physical dimensions and structural capacity are not calculated.</x:v>
      </x:c>
      <x:c r="E74" s="13" t="str">
        <x:v>All added conditions are synthetic assumptions. Statuses follow the Protocol; no historical outcomes or independent expert validation.</x:v>
      </x:c>
      <x:c r="F74" s="20" t="str">
        <x:f>IF(R74=2,"Critical",IF(R74=1,"Clarification","Acceptable"))</x:f>
        <x:v>Clarification</x:v>
      </x:c>
      <x:c r="G74" s="20" t="str">
        <x:f>IF(W74&lt;0,"Critical",IF(W74&lt;'Protocol'!$B$25,"Clarification","Acceptable"))</x:f>
        <x:v>Clarification</x:v>
      </x:c>
      <x:c r="H74" s="20" t="str">
        <x:f>IF(X74&lt;'Protocol'!$B$23,"Critical",IF(X74&lt;'Protocol'!$B$24,"Clarification","Acceptable"))</x:f>
        <x:v>Critical</x:v>
      </x:c>
      <x:c r="I74" s="20" t="str">
        <x:f>IF(T74&gt;=2,"Critical",IF(T74=1,"Clarification","Acceptable"))</x:f>
        <x:v>Acceptable</x:v>
      </x:c>
      <x:c r="J74" s="20" t="str">
        <x:f t="shared" si="4">IF(COUNTIF(F74:I74,"Critical")&gt;0,"High",IF(COUNTIF(F74:I74,"Clarification")&gt;0,"Medium","Low"))</x:f>
        <x:v>High</x:v>
      </x:c>
      <x:c r="K74" s="20" t="str">
        <x:f>"Technical: "&amp;S74&amp;" Schedule: readiness "&amp;V74&amp;" weeks, deadline "&amp;P74&amp;" weeks, buffer "&amp;W74&amp;" weeks ("&amp;G74&amp;"). Commercial: gross margin "&amp;TEXT(X74,"0.0%")&amp;" ("&amp;H74&amp;"). Documentation: "&amp;U74&amp;" Result: "&amp;J74&amp;IF(J74="High"," because at least one domain is Critical.",IF(J74="Medium","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47 weeks, deadline 48 weeks, buffer 1 weeks (Clarification). Commercial: gross margin 9.0% (Critical). Documentation: Model assumes drawings, installation scope and performance requirements are supplied. Result: High because at least one domain is Critical.</x:v>
      </x:c>
      <x:c r="L74" s="20" t="str">
        <x:f>IF(F74="Critical","Revise profile or connection. ",IF(F74="Clarification","Confirm connection and profile compatibility. ",""))&amp;IF(G74="Critical","Revise deadline or procurement/production plan. ",IF(G74="Clarification","Confirm capacity and protect the schedule buffer. ",""))&amp;IF(H74="Critical","Revise price or costs. ",IF(H74="Clarification","Confirm cost allowances and margin. ",""))&amp;IF(I74="Critical","Obtain drawings and performance requirements. ",IF(I74="Clarification","Confirm installation scope. ",""))&amp;IF(J74="Low","Proceed to routine tender checks.","")</x:f>
        <x:v>Confirm connection and profile compatibility. Confirm capacity and protect the schedule buffer. Revise price or costs. </x:v>
      </x:c>
      <x:c r="M74" s="20" t="str">
        <x:f t="shared" si="5">IF(J74=B74,"Matches legacy label","Different from legacy label")</x:f>
        <x:v>Matches legacy label</x:v>
      </x:c>
      <x:c r="N74" s="19" t="n">
        <x:v>12</x:v>
      </x:c>
      <x:c r="O74" s="19" t="n">
        <x:v>320</x:v>
      </x:c>
      <x:c r="P74" s="19" t="n">
        <x:v>48</x:v>
      </x:c>
      <x:c r="Q74" s="23" t="n">
        <x:v>691600</x:v>
      </x:c>
      <x:c r="R74" s="19" t="n">
        <x:v>1</x:v>
      </x:c>
      <x:c r="S74" s="21" t="str">
        <x:f>IF(R74=2,"Model assumes the specified connection cannot fit the selected profile geometry; redesign or profile substitution is required.",IF(R74=1,"Model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74" s="19" t="n">
        <x:v>0</x:v>
      </x:c>
      <x:c r="U74" s="21" t="str">
        <x:f>IF(T74&gt;=2,"Model assumes both final drawings and performance requirements are absent, preventing confirmation of scope and price.",IF(T74=1,"Model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74" s="12" t="n">
        <x:f>N74+ROUNDUP('Original data'!F74/O74,0)</x:f>
        <x:v>47</x:v>
      </x:c>
      <x:c r="W74" s="12" t="n">
        <x:f>P74-V74</x:f>
        <x:v>1</x:v>
      </x:c>
      <x:c r="X74" s="22" t="n">
        <x:f>ROUND(('Original data'!E74-Q74)/'Original data'!E74,10)</x:f>
        <x:v>0.09</x:v>
      </x:c>
      <x:c r="Y74" s="12" t="str">
        <x:v>Synthetic domain-informed scenario; seed 20261002</x:v>
      </x:c>
      <x:c r="Z74" s="12" t="str">
        <x:v>Scenario 073</x:v>
      </x:c>
    </x:row>
    <x:row r="75" ht="140" customHeight="1">
      <x:c r="A75" s="13" t="s">
        <x:v>76</x:v>
      </x:c>
      <x:c r="B75" s="13" t="s">
        <x:v>3</x:v>
      </x:c>
      <x:c r="C75" s="13" t="s">
        <x:v>3</x:v>
      </x:c>
      <x:c r="D75" s="13" t="str">
        <x:v>Synthetic scenario 074. Elements: Curtain Wall only. Systems: FWS 50. Complexity: High; profile: Non-standard; wind: High; region: Coastal. Value GBP 105,000; fabrication 1392 h. Physical dimensions and structural capacity are not calculated.</x:v>
      </x:c>
      <x:c r="E75" s="13" t="str">
        <x:v>All added conditions are synthetic assumptions. Statuses follow the Protocol; no historical outcomes or independent expert validation.</x:v>
      </x:c>
      <x:c r="F75" s="20" t="str">
        <x:f>IF(R75=2,"Critical",IF(R75=1,"Clarification","Acceptable"))</x:f>
        <x:v>Clarification</x:v>
      </x:c>
      <x:c r="G75" s="20" t="str">
        <x:f>IF(W75&lt;0,"Critical",IF(W75&lt;'Protocol'!$B$25,"Clarification","Acceptable"))</x:f>
        <x:v>Acceptable</x:v>
      </x:c>
      <x:c r="H75" s="20" t="str">
        <x:f>IF(X75&lt;'Protocol'!$B$23,"Critical",IF(X75&lt;'Protocol'!$B$24,"Clarification","Acceptable"))</x:f>
        <x:v>Clarification</x:v>
      </x:c>
      <x:c r="I75" s="20" t="str">
        <x:f>IF(T75&gt;=2,"Critical",IF(T75=1,"Clarification","Acceptable"))</x:f>
        <x:v>Acceptable</x:v>
      </x:c>
      <x:c r="J75" s="20" t="str">
        <x:f t="shared" si="4">IF(COUNTIF(F75:I75,"Critical")&gt;0,"High",IF(COUNTIF(F75:I75,"Clarification")&gt;0,"Medium","Low"))</x:f>
        <x:v>Medium</x:v>
      </x:c>
      <x:c r="K75" s="20" t="str">
        <x:f>"Technical: "&amp;S75&amp;" Schedule: readiness "&amp;V75&amp;" weeks, deadline "&amp;P75&amp;" weeks, buffer "&amp;W75&amp;" weeks ("&amp;G75&amp;"). Commercial: gross margin "&amp;TEXT(X75,"0.0%")&amp;" ("&amp;H75&amp;"). Documentation: "&amp;U75&amp;" Result: "&amp;J75&amp;IF(J75="High"," because at least one domain is Critical.",IF(J75="Medium","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17 weeks, deadline 22 weeks, buffer 5 weeks (Acceptable). Commercial: gross margin 12.0% (Clarification). Documentation: Model assumes drawings, installation scope and performance requirements are supplied. Result: Medium because clarification is required and no domain is Critical.</x:v>
      </x:c>
      <x:c r="L75" s="20" t="str">
        <x:f>IF(F75="Critical","Revise profile or connection. ",IF(F75="Clarification","Confirm connection and profile compatibility. ",""))&amp;IF(G75="Critical","Revise deadline or procurement/production plan. ",IF(G75="Clarification","Confirm capacity and protect the schedule buffer. ",""))&amp;IF(H75="Critical","Revise price or costs. ",IF(H75="Clarification","Confirm cost allowances and margin. ",""))&amp;IF(I75="Critical","Obtain drawings and performance requirements. ",IF(I75="Clarification","Confirm installation scope. ",""))&amp;IF(J75="Low","Proceed to routine tender checks.","")</x:f>
        <x:v>Confirm connection and profile compatibility. Confirm cost allowances and margin. </x:v>
      </x:c>
      <x:c r="M75" s="20" t="str">
        <x:f t="shared" si="5">IF(J75=B75,"Matches legacy label","Different from legacy label")</x:f>
        <x:v>Different from legacy label</x:v>
      </x:c>
      <x:c r="N75" s="19" t="n">
        <x:v>12</x:v>
      </x:c>
      <x:c r="O75" s="19" t="n">
        <x:v>320</x:v>
      </x:c>
      <x:c r="P75" s="19" t="n">
        <x:v>22</x:v>
      </x:c>
      <x:c r="Q75" s="23" t="n">
        <x:v>92400</x:v>
      </x:c>
      <x:c r="R75" s="19" t="n">
        <x:v>1</x:v>
      </x:c>
      <x:c r="S75" s="21" t="str">
        <x:f>IF(R75=2,"Model assumes the specified connection cannot fit the selected profile geometry; redesign or profile substitution is required.",IF(R75=1,"Model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75" s="19" t="n">
        <x:v>0</x:v>
      </x:c>
      <x:c r="U75" s="21" t="str">
        <x:f>IF(T75&gt;=2,"Model assumes both final drawings and performance requirements are absent, preventing confirmation of scope and price.",IF(T75=1,"Model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75" s="12" t="n">
        <x:f>N75+ROUNDUP('Original data'!F75/O75,0)</x:f>
        <x:v>17</x:v>
      </x:c>
      <x:c r="W75" s="12" t="n">
        <x:f>P75-V75</x:f>
        <x:v>5</x:v>
      </x:c>
      <x:c r="X75" s="22" t="n">
        <x:f>ROUND(('Original data'!E75-Q75)/'Original data'!E75,10)</x:f>
        <x:v>0.12</x:v>
      </x:c>
      <x:c r="Y75" s="12" t="str">
        <x:v>Synthetic domain-informed scenario; seed 20261002</x:v>
      </x:c>
      <x:c r="Z75" s="12" t="str">
        <x:v>Scenario 074</x:v>
      </x:c>
    </x:row>
    <x:row r="76" ht="140" customHeight="1">
      <x:c r="A76" s="13" t="s">
        <x:v>77</x:v>
      </x:c>
      <x:c r="B76" s="13" t="s">
        <x:v>7</x:v>
      </x:c>
      <x:c r="C76" s="13" t="s">
        <x:v>7</x:v>
      </x:c>
      <x:c r="D76" s="13" t="str">
        <x:v>Synthetic scenario 075. Elements: Windows + Doors + Curtain Wall. Systems: AWS 75.SI+ / FWS 50 / AD UP 75. Complexity: Medium; profile: Standard; wind: Low; region: Inland. Value GBP 94,000; fabrication 366 h. Physical dimensions and structural capacity are not calculated.</x:v>
      </x:c>
      <x:c r="E76" s="13" t="str">
        <x:v>All added conditions are synthetic assumptions. Statuses follow the Protocol; no historical outcomes or independent expert validation.</x:v>
      </x:c>
      <x:c r="F76" s="20" t="str">
        <x:f>IF(R76=2,"Critical",IF(R76=1,"Clarification","Acceptable"))</x:f>
        <x:v>Acceptable</x:v>
      </x:c>
      <x:c r="G76" s="20" t="str">
        <x:f>IF(W76&lt;0,"Critical",IF(W76&lt;'Protocol'!$B$25,"Clarification","Acceptable"))</x:f>
        <x:v>Clarification</x:v>
      </x:c>
      <x:c r="H76" s="20" t="str">
        <x:f>IF(X76&lt;'Protocol'!$B$23,"Critical",IF(X76&lt;'Protocol'!$B$24,"Clarification","Acceptable"))</x:f>
        <x:v>Acceptable</x:v>
      </x:c>
      <x:c r="I76" s="20" t="str">
        <x:f>IF(T76&gt;=2,"Critical",IF(T76=1,"Clarification","Acceptable"))</x:f>
        <x:v>Clarification</x:v>
      </x:c>
      <x:c r="J76" s="20" t="str">
        <x:f t="shared" si="4">IF(COUNTIF(F76:I76,"Critical")&gt;0,"High",IF(COUNTIF(F76:I76,"Clarification")&gt;0,"Medium","Low"))</x:f>
        <x:v>Medium</x:v>
      </x:c>
      <x:c r="K76" s="20" t="str">
        <x:f>"Technical: "&amp;S76&amp;" Schedule: readiness "&amp;V76&amp;" weeks, deadline "&amp;P76&amp;" weeks, buffer "&amp;W76&amp;" weeks ("&amp;G76&amp;"). Commercial: gross margin "&amp;TEXT(X76,"0.0%")&amp;" ("&amp;H76&amp;"). Documentation: "&amp;U76&amp;" Result: "&amp;J76&amp;IF(J76="High"," because at least one domain is Critical.",IF(J76="Medium"," because clarification is required and no domain is Critical."," because all four domains are Acceptable."))</x:f>
        <x:v>Technical: Model assumes the selected configuration fulfils the stated requirements; no unresolved technical issue. Schedule: readiness 12 weeks, deadline 12 weeks, buffer 0 weeks (Clarification). Commercial: gross margin 22.0% (Acceptable). Documentation: Model assumes the installation scope requires written confirmation; drawings and performance requirements are supplied. Result: Medium because clarification is required and no domain is Critical.</x:v>
      </x:c>
      <x:c r="L76" s="20" t="str">
        <x:f>IF(F76="Critical","Revise profile or connection. ",IF(F76="Clarification","Confirm connection and profile compatibility. ",""))&amp;IF(G76="Critical","Revise deadline or procurement/production plan. ",IF(G76="Clarification","Confirm capacity and protect the schedule buffer. ",""))&amp;IF(H76="Critical","Revise price or costs. ",IF(H76="Clarification","Confirm cost allowances and margin. ",""))&amp;IF(I76="Critical","Obtain drawings and performance requirements. ",IF(I76="Clarification","Confirm installation scope. ",""))&amp;IF(J76="Low","Proceed to routine tender checks.","")</x:f>
        <x:v>Confirm capacity and protect the schedule buffer. Confirm installation scope. </x:v>
      </x:c>
      <x:c r="M76" s="20" t="str">
        <x:f t="shared" si="5">IF(J76=B76,"Matches legacy label","Different from legacy label")</x:f>
        <x:v>Different from legacy label</x:v>
      </x:c>
      <x:c r="N76" s="19" t="n">
        <x:v>10</x:v>
      </x:c>
      <x:c r="O76" s="19" t="n">
        <x:v>320</x:v>
      </x:c>
      <x:c r="P76" s="19" t="n">
        <x:v>12</x:v>
      </x:c>
      <x:c r="Q76" s="23" t="n">
        <x:v>73320</x:v>
      </x:c>
      <x:c r="R76" s="19" t="n">
        <x:v>0</x:v>
      </x:c>
      <x:c r="S76" s="21" t="str">
        <x:f>IF(R76=2,"Model assumes the specified connection cannot fit the selected profile geometry; redesign or profile substitution is required.",IF(R76=1,"Model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76" s="19" t="n">
        <x:v>1</x:v>
      </x:c>
      <x:c r="U76" s="21" t="str">
        <x:f>IF(T76&gt;=2,"Model assumes both final drawings and performance requirements are absent, preventing confirmation of scope and price.",IF(T76=1,"Model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76" s="12" t="n">
        <x:f>N76+ROUNDUP('Original data'!F76/O76,0)</x:f>
        <x:v>12</x:v>
      </x:c>
      <x:c r="W76" s="12" t="n">
        <x:f>P76-V76</x:f>
        <x:v>0</x:v>
      </x:c>
      <x:c r="X76" s="22" t="n">
        <x:f>ROUND(('Original data'!E76-Q76)/'Original data'!E76,10)</x:f>
        <x:v>0.22</x:v>
      </x:c>
      <x:c r="Y76" s="12" t="str">
        <x:v>Synthetic domain-informed scenario; seed 20261002</x:v>
      </x:c>
      <x:c r="Z76" s="12" t="str">
        <x:v>Scenario 075</x:v>
      </x:c>
    </x:row>
    <x:row r="77" ht="140" customHeight="1">
      <x:c r="A77" s="13" t="s">
        <x:v>78</x:v>
      </x:c>
      <x:c r="B77" s="13" t="s">
        <x:v>3</x:v>
      </x:c>
      <x:c r="C77" s="13" t="s">
        <x:v>1</x:v>
      </x:c>
      <x:c r="D77" s="13" t="str">
        <x:v>Synthetic scenario 076. Elements: Windows + Doors. Systems: AWS 75.SI+ / AD UP 75. Complexity: Medium; profile: Non-standard; wind: Low; region: Inland. Value GBP 2,842,000; fabrication 1896 h. Physical dimensions and structural capacity are not calculated.</x:v>
      </x:c>
      <x:c r="E77" s="13" t="str">
        <x:v>All added conditions are synthetic assumptions. Statuses follow the Protocol; no historical outcomes or independent expert validation.</x:v>
      </x:c>
      <x:c r="F77" s="20" t="str">
        <x:f>IF(R77=2,"Critical",IF(R77=1,"Clarification","Acceptable"))</x:f>
        <x:v>Acceptable</x:v>
      </x:c>
      <x:c r="G77" s="20" t="str">
        <x:f>IF(W77&lt;0,"Critical",IF(W77&lt;'Protocol'!$B$25,"Clarification","Acceptable"))</x:f>
        <x:v>Acceptable</x:v>
      </x:c>
      <x:c r="H77" s="20" t="str">
        <x:f>IF(X77&lt;'Protocol'!$B$23,"Critical",IF(X77&lt;'Protocol'!$B$24,"Clarification","Acceptable"))</x:f>
        <x:v>Acceptable</x:v>
      </x:c>
      <x:c r="I77" s="20" t="str">
        <x:f>IF(T77&gt;=2,"Critical",IF(T77=1,"Clarification","Acceptable"))</x:f>
        <x:v>Acceptable</x:v>
      </x:c>
      <x:c r="J77" s="20" t="str">
        <x:f t="shared" si="4">IF(COUNTIF(F77:I77,"Critical")&gt;0,"High",IF(COUNTIF(F77:I77,"Clarification")&gt;0,"Medium","Low"))</x:f>
        <x:v>Low</x:v>
      </x:c>
      <x:c r="K77" s="20" t="str">
        <x:f>"Technical: "&amp;S77&amp;" Schedule: readiness "&amp;V77&amp;" weeks, deadline "&amp;P77&amp;" weeks, buffer "&amp;W77&amp;" weeks ("&amp;G77&amp;"). Commercial: gross margin "&amp;TEXT(X77,"0.0%")&amp;" ("&amp;H77&amp;"). Documentation: "&amp;U77&amp;" Result: "&amp;J77&amp;IF(J77="High"," because at least one domain is Critical.",IF(J77="Medium"," because clarification is required and no domain is Critical."," because all four domains are Acceptable."))</x:f>
        <x:v>Technical: Model assumes the selected configuration fulfils the stated requirements; no unresolved technical issue. Schedule: readiness 24 weeks, deadline 27 weeks, buffer 3 weeks (Acceptable). Commercial: gross margin 18.0% (Acceptable). Documentation: Model assumes drawings, installation scope and performance requirements are supplied. Result: Low because all four domains are Acceptable.</x:v>
      </x:c>
      <x:c r="L77" s="20" t="str">
        <x:f>IF(F77="Critical","Revise profile or connection. ",IF(F77="Clarification","Confirm connection and profile compatibility. ",""))&amp;IF(G77="Critical","Revise deadline or procurement/production plan. ",IF(G77="Clarification","Confirm capacity and protect the schedule buffer. ",""))&amp;IF(H77="Critical","Revise price or costs. ",IF(H77="Clarification","Confirm cost allowances and margin. ",""))&amp;IF(I77="Critical","Obtain drawings and performance requirements. ",IF(I77="Clarification","Confirm installation scope. ",""))&amp;IF(J77="Low","Proceed to routine tender checks.","")</x:f>
        <x:v>Proceed to routine tender checks.</x:v>
      </x:c>
      <x:c r="M77" s="20" t="str">
        <x:f t="shared" si="5">IF(J77=B77,"Matches legacy label","Different from legacy label")</x:f>
        <x:v>Different from legacy label</x:v>
      </x:c>
      <x:c r="N77" s="19" t="n">
        <x:v>12</x:v>
      </x:c>
      <x:c r="O77" s="19" t="n">
        <x:v>160</x:v>
      </x:c>
      <x:c r="P77" s="19" t="n">
        <x:v>27</x:v>
      </x:c>
      <x:c r="Q77" s="23" t="n">
        <x:v>2330440</x:v>
      </x:c>
      <x:c r="R77" s="19" t="n">
        <x:v>0</x:v>
      </x:c>
      <x:c r="S77" s="21" t="str">
        <x:f>IF(R77=2,"Model assumes the specified connection cannot fit the selected profile geometry; redesign or profile substitution is required.",IF(R77=1,"Model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77" s="19" t="n">
        <x:v>0</x:v>
      </x:c>
      <x:c r="U77" s="21" t="str">
        <x:f>IF(T77&gt;=2,"Model assumes both final drawings and performance requirements are absent, preventing confirmation of scope and price.",IF(T77=1,"Model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77" s="12" t="n">
        <x:f>N77+ROUNDUP('Original data'!F77/O77,0)</x:f>
        <x:v>24</x:v>
      </x:c>
      <x:c r="W77" s="12" t="n">
        <x:f>P77-V77</x:f>
        <x:v>3</x:v>
      </x:c>
      <x:c r="X77" s="22" t="n">
        <x:f>ROUND(('Original data'!E77-Q77)/'Original data'!E77,10)</x:f>
        <x:v>0.18</x:v>
      </x:c>
      <x:c r="Y77" s="12" t="str">
        <x:v>Synthetic domain-informed scenario; seed 20261002</x:v>
      </x:c>
      <x:c r="Z77" s="12" t="str">
        <x:v>Scenario 076</x:v>
      </x:c>
    </x:row>
    <x:row r="78" ht="140" customHeight="1">
      <x:c r="A78" s="13" t="s">
        <x:v>79</x:v>
      </x:c>
      <x:c r="B78" s="13" t="s">
        <x:v>3</x:v>
      </x:c>
      <x:c r="C78" s="13" t="s">
        <x:v>3</x:v>
      </x:c>
      <x:c r="D78" s="13" t="str">
        <x:v>Synthetic scenario 077. Elements: Windows + Curtain Wall. Systems: AWS 75.SI+ / FWS 50. Complexity: High; profile: Non-standard; wind: Low; region: Industrial. Value GBP 179,000; fabrication 308 h. Physical dimensions and structural capacity are not calculated.</x:v>
      </x:c>
      <x:c r="E78" s="13" t="str">
        <x:v>All added conditions are synthetic assumptions. Statuses follow the Protocol; no historical outcomes or independent expert validation.</x:v>
      </x:c>
      <x:c r="F78" s="20" t="str">
        <x:f>IF(R78=2,"Critical",IF(R78=1,"Clarification","Acceptable"))</x:f>
        <x:v>Acceptable</x:v>
      </x:c>
      <x:c r="G78" s="20" t="str">
        <x:f>IF(W78&lt;0,"Critical",IF(W78&lt;'Protocol'!$B$25,"Clarification","Acceptable"))</x:f>
        <x:v>Acceptable</x:v>
      </x:c>
      <x:c r="H78" s="20" t="str">
        <x:f>IF(X78&lt;'Protocol'!$B$23,"Critical",IF(X78&lt;'Protocol'!$B$24,"Clarification","Acceptable"))</x:f>
        <x:v>Acceptable</x:v>
      </x:c>
      <x:c r="I78" s="20" t="str">
        <x:f>IF(T78&gt;=2,"Critical",IF(T78=1,"Clarification","Acceptable"))</x:f>
        <x:v>Acceptable</x:v>
      </x:c>
      <x:c r="J78" s="20" t="str">
        <x:f t="shared" si="4">IF(COUNTIF(F78:I78,"Critical")&gt;0,"High",IF(COUNTIF(F78:I78,"Clarification")&gt;0,"Medium","Low"))</x:f>
        <x:v>Low</x:v>
      </x:c>
      <x:c r="K78" s="20" t="str">
        <x:f>"Technical: "&amp;S78&amp;" Schedule: readiness "&amp;V78&amp;" weeks, deadline "&amp;P78&amp;" weeks, buffer "&amp;W78&amp;" weeks ("&amp;G78&amp;"). Commercial: gross margin "&amp;TEXT(X78,"0.0%")&amp;" ("&amp;H78&amp;"). Documentation: "&amp;U78&amp;" Result: "&amp;J78&amp;IF(J78="High"," because at least one domain is Critical.",IF(J78="Medium"," because clarification is required and no domain is Critical."," because all four domains are Acceptable."))</x:f>
        <x:v>Technical: Model assumes the selected configuration fulfils the stated requirements; no unresolved technical issue. Schedule: readiness 13 weeks, deadline 20 weeks, buffer 7 weeks (Acceptable). Commercial: gross margin 22.0% (Acceptable). Documentation: Model assumes drawings, installation scope and performance requirements are supplied. Result: Low because all four domains are Acceptable.</x:v>
      </x:c>
      <x:c r="L78" s="20" t="str">
        <x:f>IF(F78="Critical","Revise profile or connection. ",IF(F78="Clarification","Confirm connection and profile compatibility. ",""))&amp;IF(G78="Critical","Revise deadline or procurement/production plan. ",IF(G78="Clarification","Confirm capacity and protect the schedule buffer. ",""))&amp;IF(H78="Critical","Revise price or costs. ",IF(H78="Clarification","Confirm cost allowances and margin. ",""))&amp;IF(I78="Critical","Obtain drawings and performance requirements. ",IF(I78="Clarification","Confirm installation scope. ",""))&amp;IF(J78="Low","Proceed to routine tender checks.","")</x:f>
        <x:v>Proceed to routine tender checks.</x:v>
      </x:c>
      <x:c r="M78" s="20" t="str">
        <x:f t="shared" si="5">IF(J78=B78,"Matches legacy label","Different from legacy label")</x:f>
        <x:v>Different from legacy label</x:v>
      </x:c>
      <x:c r="N78" s="19" t="n">
        <x:v>12</x:v>
      </x:c>
      <x:c r="O78" s="19" t="n">
        <x:v>320</x:v>
      </x:c>
      <x:c r="P78" s="19" t="n">
        <x:v>20</x:v>
      </x:c>
      <x:c r="Q78" s="23" t="n">
        <x:v>139620</x:v>
      </x:c>
      <x:c r="R78" s="19" t="n">
        <x:v>0</x:v>
      </x:c>
      <x:c r="S78" s="21" t="str">
        <x:f>IF(R78=2,"Model assumes the specified connection cannot fit the selected profile geometry; redesign or profile substitution is required.",IF(R78=1,"Model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78" s="19" t="n">
        <x:v>0</x:v>
      </x:c>
      <x:c r="U78" s="21" t="str">
        <x:f>IF(T78&gt;=2,"Model assumes both final drawings and performance requirements are absent, preventing confirmation of scope and price.",IF(T78=1,"Model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78" s="12" t="n">
        <x:f>N78+ROUNDUP('Original data'!F78/O78,0)</x:f>
        <x:v>13</x:v>
      </x:c>
      <x:c r="W78" s="12" t="n">
        <x:f>P78-V78</x:f>
        <x:v>7</x:v>
      </x:c>
      <x:c r="X78" s="22" t="n">
        <x:f>ROUND(('Original data'!E78-Q78)/'Original data'!E78,10)</x:f>
        <x:v>0.22</x:v>
      </x:c>
      <x:c r="Y78" s="12" t="str">
        <x:v>Synthetic domain-informed scenario; seed 20261002</x:v>
      </x:c>
      <x:c r="Z78" s="12" t="str">
        <x:v>Scenario 077</x:v>
      </x:c>
    </x:row>
    <x:row r="79" ht="140" customHeight="1">
      <x:c r="A79" s="13" t="s">
        <x:v>80</x:v>
      </x:c>
      <x:c r="B79" s="13" t="s">
        <x:v>7</x:v>
      </x:c>
      <x:c r="C79" s="13" t="s">
        <x:v>1</x:v>
      </x:c>
      <x:c r="D79" s="13" t="str">
        <x:v>Synthetic scenario 078. Elements: Curtain Wall only. Systems: FWS 60. Complexity: Low; profile: Non-standard; wind: Low; region: Mountain. Value GBP 111,000; fabrication 1072 h. Physical dimensions and structural capacity are not calculated.</x:v>
      </x:c>
      <x:c r="E79" s="13" t="str">
        <x:v>All added conditions are synthetic assumptions. Statuses follow the Protocol; no historical outcomes or independent expert validation.</x:v>
      </x:c>
      <x:c r="F79" s="20" t="str">
        <x:f>IF(R79=2,"Critical",IF(R79=1,"Clarification","Acceptable"))</x:f>
        <x:v>Clarification</x:v>
      </x:c>
      <x:c r="G79" s="20" t="str">
        <x:f>IF(W79&lt;0,"Critical",IF(W79&lt;'Protocol'!$B$25,"Clarification","Acceptable"))</x:f>
        <x:v>Acceptable</x:v>
      </x:c>
      <x:c r="H79" s="20" t="str">
        <x:f>IF(X79&lt;'Protocol'!$B$23,"Critical",IF(X79&lt;'Protocol'!$B$24,"Clarification","Acceptable"))</x:f>
        <x:v>Acceptable</x:v>
      </x:c>
      <x:c r="I79" s="20" t="str">
        <x:f>IF(T79&gt;=2,"Critical",IF(T79=1,"Clarification","Acceptable"))</x:f>
        <x:v>Critical</x:v>
      </x:c>
      <x:c r="J79" s="20" t="str">
        <x:f t="shared" si="4">IF(COUNTIF(F79:I79,"Critical")&gt;0,"High",IF(COUNTIF(F79:I79,"Clarification")&gt;0,"Medium","Low"))</x:f>
        <x:v>High</x:v>
      </x:c>
      <x:c r="K79" s="20" t="str">
        <x:f>"Technical: "&amp;S79&amp;" Schedule: readiness "&amp;V79&amp;" weeks, deadline "&amp;P79&amp;" weeks, buffer "&amp;W79&amp;" weeks ("&amp;G79&amp;"). Commercial: gross margin "&amp;TEXT(X79,"0.0%")&amp;" ("&amp;H79&amp;"). Documentation: "&amp;U79&amp;" Result: "&amp;J79&amp;IF(J79="High"," because at least one domain is Critical.",IF(J79="Medium","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17 weeks, deadline 24 weeks, buffer 7 weeks (Acceptable). Commercial: gross margin 26.0% (Acceptable). Documentation: Model assumes both final drawings and performance requirements are absent, preventing confirmation of scope and price. Result: High because at least one domain is Critical.</x:v>
      </x:c>
      <x:c r="L79" s="20" t="str">
        <x:f>IF(F79="Critical","Revise profile or connection. ",IF(F79="Clarification","Confirm connection and profile compatibility. ",""))&amp;IF(G79="Critical","Revise deadline or procurement/production plan. ",IF(G79="Clarification","Confirm capacity and protect the schedule buffer. ",""))&amp;IF(H79="Critical","Revise price or costs. ",IF(H79="Clarification","Confirm cost allowances and margin. ",""))&amp;IF(I79="Critical","Obtain drawings and performance requirements. ",IF(I79="Clarification","Confirm installation scope. ",""))&amp;IF(J79="Low","Proceed to routine tender checks.","")</x:f>
        <x:v>Confirm connection and profile compatibility. Obtain drawings and performance requirements. </x:v>
      </x:c>
      <x:c r="M79" s="20" t="str">
        <x:f t="shared" si="5">IF(J79=B79,"Matches legacy label","Different from legacy label")</x:f>
        <x:v>Different from legacy label</x:v>
      </x:c>
      <x:c r="N79" s="19" t="n">
        <x:v>12</x:v>
      </x:c>
      <x:c r="O79" s="19" t="n">
        <x:v>240</x:v>
      </x:c>
      <x:c r="P79" s="19" t="n">
        <x:v>24</x:v>
      </x:c>
      <x:c r="Q79" s="23" t="n">
        <x:v>82140</x:v>
      </x:c>
      <x:c r="R79" s="19" t="n">
        <x:v>1</x:v>
      </x:c>
      <x:c r="S79" s="21" t="str">
        <x:f>IF(R79=2,"Model assumes the specified connection cannot fit the selected profile geometry; redesign or profile substitution is required.",IF(R79=1,"Model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79" s="19" t="n">
        <x:v>2</x:v>
      </x:c>
      <x:c r="U79" s="21" t="str">
        <x:f>IF(T79&gt;=2,"Model assumes both final drawings and performance requirements are absent, preventing confirmation of scope and price.",IF(T79=1,"Model assumes the installation scope requires written confirmation; drawings and performance requirements are supplied.","Model assumes drawings, installation scope and performance requirements are supplied."))</x:f>
        <x:v>Model assumes both final drawings and performance requirements are absent, preventing confirmation of scope and price.</x:v>
      </x:c>
      <x:c r="V79" s="12" t="n">
        <x:f>N79+ROUNDUP('Original data'!F79/O79,0)</x:f>
        <x:v>17</x:v>
      </x:c>
      <x:c r="W79" s="12" t="n">
        <x:f>P79-V79</x:f>
        <x:v>7</x:v>
      </x:c>
      <x:c r="X79" s="22" t="n">
        <x:f>ROUND(('Original data'!E79-Q79)/'Original data'!E79,10)</x:f>
        <x:v>0.26</x:v>
      </x:c>
      <x:c r="Y79" s="12" t="str">
        <x:v>Synthetic domain-informed scenario; seed 20261002</x:v>
      </x:c>
      <x:c r="Z79" s="12" t="str">
        <x:v>Scenario 078</x:v>
      </x:c>
    </x:row>
    <x:row r="80" ht="140" customHeight="1">
      <x:c r="A80" s="13" t="s">
        <x:v>81</x:v>
      </x:c>
      <x:c r="B80" s="13" t="s">
        <x:v>1</x:v>
      </x:c>
      <x:c r="C80" s="13" t="s">
        <x:v>1</x:v>
      </x:c>
      <x:c r="D80" s="13" t="str">
        <x:v>Synthetic scenario 079. Elements: Curtain Wall only. Systems: FWS 50. Complexity: Low; profile: Non-standard; wind: Low; region: Mountain. Value GBP 247,000; fabrication 4074 h. Physical dimensions and structural capacity are not calculated.</x:v>
      </x:c>
      <x:c r="E80" s="13" t="str">
        <x:v>All added conditions are synthetic assumptions. Statuses follow the Protocol; no historical outcomes or independent expert validation.</x:v>
      </x:c>
      <x:c r="F80" s="20" t="str">
        <x:f>IF(R80=2,"Critical",IF(R80=1,"Clarification","Acceptable"))</x:f>
        <x:v>Acceptable</x:v>
      </x:c>
      <x:c r="G80" s="20" t="str">
        <x:f>IF(W80&lt;0,"Critical",IF(W80&lt;'Protocol'!$B$25,"Clarification","Acceptable"))</x:f>
        <x:v>Acceptable</x:v>
      </x:c>
      <x:c r="H80" s="20" t="str">
        <x:f>IF(X80&lt;'Protocol'!$B$23,"Critical",IF(X80&lt;'Protocol'!$B$24,"Clarification","Acceptable"))</x:f>
        <x:v>Acceptable</x:v>
      </x:c>
      <x:c r="I80" s="20" t="str">
        <x:f>IF(T80&gt;=2,"Critical",IF(T80=1,"Clarification","Acceptable"))</x:f>
        <x:v>Acceptable</x:v>
      </x:c>
      <x:c r="J80" s="20" t="str">
        <x:f t="shared" si="4">IF(COUNTIF(F80:I80,"Critical")&gt;0,"High",IF(COUNTIF(F80:I80,"Clarification")&gt;0,"Medium","Low"))</x:f>
        <x:v>Low</x:v>
      </x:c>
      <x:c r="K80" s="20" t="str">
        <x:f>"Technical: "&amp;S80&amp;" Schedule: readiness "&amp;V80&amp;" weeks, deadline "&amp;P80&amp;" weeks, buffer "&amp;W80&amp;" weeks ("&amp;G80&amp;"). Commercial: gross margin "&amp;TEXT(X80,"0.0%")&amp;" ("&amp;H80&amp;"). Documentation: "&amp;U80&amp;" Result: "&amp;J80&amp;IF(J80="High"," because at least one domain is Critical.",IF(J80="Medium"," because clarification is required and no domain is Critical."," because all four domains are Acceptable."))</x:f>
        <x:v>Technical: Model assumes the selected configuration fulfils the stated requirements; no unresolved technical issue. Schedule: readiness 29 weeks, deadline 34 weeks, buffer 5 weeks (Acceptable). Commercial: gross margin 26.0% (Acceptable). Documentation: Model assumes drawings, installation scope and performance requirements are supplied. Result: Low because all four domains are Acceptable.</x:v>
      </x:c>
      <x:c r="L80" s="20" t="str">
        <x:f>IF(F80="Critical","Revise profile or connection. ",IF(F80="Clarification","Confirm connection and profile compatibility. ",""))&amp;IF(G80="Critical","Revise deadline or procurement/production plan. ",IF(G80="Clarification","Confirm capacity and protect the schedule buffer. ",""))&amp;IF(H80="Critical","Revise price or costs. ",IF(H80="Clarification","Confirm cost allowances and margin. ",""))&amp;IF(I80="Critical","Obtain drawings and performance requirements. ",IF(I80="Clarification","Confirm installation scope. ",""))&amp;IF(J80="Low","Proceed to routine tender checks.","")</x:f>
        <x:v>Proceed to routine tender checks.</x:v>
      </x:c>
      <x:c r="M80" s="20" t="str">
        <x:f t="shared" si="5">IF(J80=B80,"Matches legacy label","Different from legacy label")</x:f>
        <x:v>Different from legacy label</x:v>
      </x:c>
      <x:c r="N80" s="19" t="n">
        <x:v>12</x:v>
      </x:c>
      <x:c r="O80" s="19" t="n">
        <x:v>240</x:v>
      </x:c>
      <x:c r="P80" s="19" t="n">
        <x:v>34</x:v>
      </x:c>
      <x:c r="Q80" s="23" t="n">
        <x:v>182780</x:v>
      </x:c>
      <x:c r="R80" s="19" t="n">
        <x:v>0</x:v>
      </x:c>
      <x:c r="S80" s="21" t="str">
        <x:f>IF(R80=2,"Model assumes the specified connection cannot fit the selected profile geometry; redesign or profile substitution is required.",IF(R80=1,"Model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80" s="19" t="n">
        <x:v>0</x:v>
      </x:c>
      <x:c r="U80" s="21" t="str">
        <x:f>IF(T80&gt;=2,"Model assumes both final drawings and performance requirements are absent, preventing confirmation of scope and price.",IF(T80=1,"Model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80" s="12" t="n">
        <x:f>N80+ROUNDUP('Original data'!F80/O80,0)</x:f>
        <x:v>29</x:v>
      </x:c>
      <x:c r="W80" s="12" t="n">
        <x:f>P80-V80</x:f>
        <x:v>5</x:v>
      </x:c>
      <x:c r="X80" s="22" t="n">
        <x:f>ROUND(('Original data'!E80-Q80)/'Original data'!E80,10)</x:f>
        <x:v>0.26</x:v>
      </x:c>
      <x:c r="Y80" s="12" t="str">
        <x:v>Synthetic domain-informed scenario; seed 20261002</x:v>
      </x:c>
      <x:c r="Z80" s="12" t="str">
        <x:v>Scenario 079</x:v>
      </x:c>
    </x:row>
    <x:row r="81" ht="140" customHeight="1">
      <x:c r="A81" s="13" t="s">
        <x:v>82</x:v>
      </x:c>
      <x:c r="B81" s="13" t="s">
        <x:v>1</x:v>
      </x:c>
      <x:c r="C81" s="13" t="s">
        <x:v>1</x:v>
      </x:c>
      <x:c r="D81" s="13" t="str">
        <x:v>Synthetic scenario 080. Elements: Windows + Doors + Curtain Wall. Systems: AWS 75.SI+ / FWS 50 / AD UP 75. Complexity: Medium; profile: Standard; wind: Low; region: Industrial. Value GBP 362,000; fabrication 4856 h. Physical dimensions and structural capacity are not calculated.</x:v>
      </x:c>
      <x:c r="E81" s="13" t="str">
        <x:v>All added conditions are synthetic assumptions. Statuses follow the Protocol; no historical outcomes or independent expert validation.</x:v>
      </x:c>
      <x:c r="F81" s="20" t="str">
        <x:f>IF(R81=2,"Critical",IF(R81=1,"Clarification","Acceptable"))</x:f>
        <x:v>Acceptable</x:v>
      </x:c>
      <x:c r="G81" s="20" t="str">
        <x:f>IF(W81&lt;0,"Critical",IF(W81&lt;'Protocol'!$B$25,"Clarification","Acceptable"))</x:f>
        <x:v>Acceptable</x:v>
      </x:c>
      <x:c r="H81" s="20" t="str">
        <x:f>IF(X81&lt;'Protocol'!$B$23,"Critical",IF(X81&lt;'Protocol'!$B$24,"Clarification","Acceptable"))</x:f>
        <x:v>Acceptable</x:v>
      </x:c>
      <x:c r="I81" s="20" t="str">
        <x:f>IF(T81&gt;=2,"Critical",IF(T81=1,"Clarification","Acceptable"))</x:f>
        <x:v>Acceptable</x:v>
      </x:c>
      <x:c r="J81" s="20" t="str">
        <x:f t="shared" si="4">IF(COUNTIF(F81:I81,"Critical")&gt;0,"High",IF(COUNTIF(F81:I81,"Clarification")&gt;0,"Medium","Low"))</x:f>
        <x:v>Low</x:v>
      </x:c>
      <x:c r="K81" s="20" t="str">
        <x:f>"Technical: "&amp;S81&amp;" Schedule: readiness "&amp;V81&amp;" weeks, deadline "&amp;P81&amp;" weeks, buffer "&amp;W81&amp;" weeks ("&amp;G81&amp;"). Commercial: gross margin "&amp;TEXT(X81,"0.0%")&amp;" ("&amp;H81&amp;"). Documentation: "&amp;U81&amp;" Result: "&amp;J81&amp;IF(J81="High"," because at least one domain is Critical.",IF(J81="Medium"," because clarification is required and no domain is Critical."," because all four domains are Acceptable."))</x:f>
        <x:v>Technical: Model assumes the selected configuration fulfils the stated requirements; no unresolved technical issue. Schedule: readiness 41 weeks, deadline 44 weeks, buffer 3 weeks (Acceptable). Commercial: gross margin 18.0% (Acceptable). Documentation: Model assumes drawings, installation scope and performance requirements are supplied. Result: Low because all four domains are Acceptable.</x:v>
      </x:c>
      <x:c r="L81" s="20" t="str">
        <x:f>IF(F81="Critical","Revise profile or connection. ",IF(F81="Clarification","Confirm connection and profile compatibility. ",""))&amp;IF(G81="Critical","Revise deadline or procurement/production plan. ",IF(G81="Clarification","Confirm capacity and protect the schedule buffer. ",""))&amp;IF(H81="Critical","Revise price or costs. ",IF(H81="Clarification","Confirm cost allowances and margin. ",""))&amp;IF(I81="Critical","Obtain drawings and performance requirements. ",IF(I81="Clarification","Confirm installation scope. ",""))&amp;IF(J81="Low","Proceed to routine tender checks.","")</x:f>
        <x:v>Proceed to routine tender checks.</x:v>
      </x:c>
      <x:c r="M81" s="20" t="str">
        <x:f t="shared" si="5">IF(J81=B81,"Matches legacy label","Different from legacy label")</x:f>
        <x:v>Different from legacy label</x:v>
      </x:c>
      <x:c r="N81" s="19" t="n">
        <x:v>10</x:v>
      </x:c>
      <x:c r="O81" s="19" t="n">
        <x:v>160</x:v>
      </x:c>
      <x:c r="P81" s="19" t="n">
        <x:v>44</x:v>
      </x:c>
      <x:c r="Q81" s="23" t="n">
        <x:v>296840</x:v>
      </x:c>
      <x:c r="R81" s="19" t="n">
        <x:v>0</x:v>
      </x:c>
      <x:c r="S81" s="21" t="str">
        <x:f>IF(R81=2,"Model assumes the specified connection cannot fit the selected profile geometry; redesign or profile substitution is required.",IF(R81=1,"Model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81" s="19" t="n">
        <x:v>0</x:v>
      </x:c>
      <x:c r="U81" s="21" t="str">
        <x:f>IF(T81&gt;=2,"Model assumes both final drawings and performance requirements are absent, preventing confirmation of scope and price.",IF(T81=1,"Model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81" s="12" t="n">
        <x:f>N81+ROUNDUP('Original data'!F81/O81,0)</x:f>
        <x:v>41</x:v>
      </x:c>
      <x:c r="W81" s="12" t="n">
        <x:f>P81-V81</x:f>
        <x:v>3</x:v>
      </x:c>
      <x:c r="X81" s="22" t="n">
        <x:f>ROUND(('Original data'!E81-Q81)/'Original data'!E81,10)</x:f>
        <x:v>0.18</x:v>
      </x:c>
      <x:c r="Y81" s="12" t="str">
        <x:v>Synthetic domain-informed scenario; seed 20261002</x:v>
      </x:c>
      <x:c r="Z81" s="12" t="str">
        <x:v>Scenario 080</x:v>
      </x:c>
    </x:row>
    <x:row r="82" ht="140" customHeight="1">
      <x:c r="A82" s="13" t="s">
        <x:v>83</x:v>
      </x:c>
      <x:c r="B82" s="13" t="s">
        <x:v>3</x:v>
      </x:c>
      <x:c r="C82" s="13" t="s">
        <x:v>1</x:v>
      </x:c>
      <x:c r="D82" s="13" t="str">
        <x:v>Synthetic scenario 081. Elements: Windows + Doors (High Insulation). Systems: AWS 75.SI+ / ASE 80.HI. Complexity: High; profile: Non-standard; wind: Low; region: Inland. Value GBP 82,000; fabrication 644 h. Physical dimensions and structural capacity are not calculated.</x:v>
      </x:c>
      <x:c r="E82" s="13" t="str">
        <x:v>All added conditions are synthetic assumptions. Statuses follow the Protocol; no historical outcomes or independent expert validation.</x:v>
      </x:c>
      <x:c r="F82" s="20" t="str">
        <x:f>IF(R82=2,"Critical",IF(R82=1,"Clarification","Acceptable"))</x:f>
        <x:v>Acceptable</x:v>
      </x:c>
      <x:c r="G82" s="20" t="str">
        <x:f>IF(W82&lt;0,"Critical",IF(W82&lt;'Protocol'!$B$25,"Clarification","Acceptable"))</x:f>
        <x:v>Acceptable</x:v>
      </x:c>
      <x:c r="H82" s="20" t="str">
        <x:f>IF(X82&lt;'Protocol'!$B$23,"Critical",IF(X82&lt;'Protocol'!$B$24,"Clarification","Acceptable"))</x:f>
        <x:v>Acceptable</x:v>
      </x:c>
      <x:c r="I82" s="20" t="str">
        <x:f>IF(T82&gt;=2,"Critical",IF(T82=1,"Clarification","Acceptable"))</x:f>
        <x:v>Clarification</x:v>
      </x:c>
      <x:c r="J82" s="20" t="str">
        <x:f t="shared" si="4">IF(COUNTIF(F82:I82,"Critical")&gt;0,"High",IF(COUNTIF(F82:I82,"Clarification")&gt;0,"Medium","Low"))</x:f>
        <x:v>Medium</x:v>
      </x:c>
      <x:c r="K82" s="20" t="str">
        <x:f>"Technical: "&amp;S82&amp;" Schedule: readiness "&amp;V82&amp;" weeks, deadline "&amp;P82&amp;" weeks, buffer "&amp;W82&amp;" weeks ("&amp;G82&amp;"). Commercial: gross margin "&amp;TEXT(X82,"0.0%")&amp;" ("&amp;H82&amp;"). Documentation: "&amp;U82&amp;" Result: "&amp;J82&amp;IF(J82="High"," because at least one domain is Critical.",IF(J82="Medium"," because clarification is required and no domain is Critical."," because all four domains are Acceptable."))</x:f>
        <x:v>Technical: Model assumes the selected configuration fulfils the stated requirements; no unresolved technical issue. Schedule: readiness 15 weeks, deadline 20 weeks, buffer 5 weeks (Acceptable).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82" s="20" t="str">
        <x:f>IF(F82="Critical","Revise profile or connection. ",IF(F82="Clarification","Confirm connection and profile compatibility. ",""))&amp;IF(G82="Critical","Revise deadline or procurement/production plan. ",IF(G82="Clarification","Confirm capacity and protect the schedule buffer. ",""))&amp;IF(H82="Critical","Revise price or costs. ",IF(H82="Clarification","Confirm cost allowances and margin. ",""))&amp;IF(I82="Critical","Obtain drawings and performance requirements. ",IF(I82="Clarification","Confirm installation scope. ",""))&amp;IF(J82="Low","Proceed to routine tender checks.","")</x:f>
        <x:v>Confirm installation scope. </x:v>
      </x:c>
      <x:c r="M82" s="20" t="str">
        <x:f t="shared" si="5">IF(J82=B82,"Matches legacy label","Different from legacy label")</x:f>
        <x:v>Different from legacy label</x:v>
      </x:c>
      <x:c r="N82" s="19" t="n">
        <x:v>12</x:v>
      </x:c>
      <x:c r="O82" s="19" t="n">
        <x:v>240</x:v>
      </x:c>
      <x:c r="P82" s="19" t="n">
        <x:v>20</x:v>
      </x:c>
      <x:c r="Q82" s="23" t="n">
        <x:v>67240</x:v>
      </x:c>
      <x:c r="R82" s="19" t="n">
        <x:v>0</x:v>
      </x:c>
      <x:c r="S82" s="21" t="str">
        <x:f>IF(R82=2,"Model assumes the specified connection cannot fit the selected profile geometry; redesign or profile substitution is required.",IF(R82=1,"Model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82" s="19" t="n">
        <x:v>1</x:v>
      </x:c>
      <x:c r="U82" s="21" t="str">
        <x:f>IF(T82&gt;=2,"Model assumes both final drawings and performance requirements are absent, preventing confirmation of scope and price.",IF(T82=1,"Model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82" s="12" t="n">
        <x:f>N82+ROUNDUP('Original data'!F82/O82,0)</x:f>
        <x:v>15</x:v>
      </x:c>
      <x:c r="W82" s="12" t="n">
        <x:f>P82-V82</x:f>
        <x:v>5</x:v>
      </x:c>
      <x:c r="X82" s="22" t="n">
        <x:f>ROUND(('Original data'!E82-Q82)/'Original data'!E82,10)</x:f>
        <x:v>0.18</x:v>
      </x:c>
      <x:c r="Y82" s="12" t="str">
        <x:v>Synthetic domain-informed scenario; seed 20261002</x:v>
      </x:c>
      <x:c r="Z82" s="12" t="str">
        <x:v>Scenario 081</x:v>
      </x:c>
    </x:row>
    <x:row r="83" ht="140" customHeight="1">
      <x:c r="A83" s="13" t="s">
        <x:v>84</x:v>
      </x:c>
      <x:c r="B83" s="13" t="s">
        <x:v>3</x:v>
      </x:c>
      <x:c r="C83" s="13" t="s">
        <x:v>1</x:v>
      </x:c>
      <x:c r="D83" s="13" t="str">
        <x:v>Synthetic scenario 082. Elements: Windows + Doors. Systems: AWS 75.SI+ / AD UP 75. Complexity: High; profile: Non-standard; wind: High; region: Inland. Value GBP 62,000; fabrication 816 h. Physical dimensions and structural capacity are not calculated.</x:v>
      </x:c>
      <x:c r="E83" s="13" t="str">
        <x:v>All added conditions are synthetic assumptions. Statuses follow the Protocol; no historical outcomes or independent expert validation.</x:v>
      </x:c>
      <x:c r="F83" s="20" t="str">
        <x:f>IF(R83=2,"Critical",IF(R83=1,"Clarification","Acceptable"))</x:f>
        <x:v>Critical</x:v>
      </x:c>
      <x:c r="G83" s="20" t="str">
        <x:f>IF(W83&lt;0,"Critical",IF(W83&lt;'Protocol'!$B$25,"Clarification","Acceptable"))</x:f>
        <x:v>Acceptable</x:v>
      </x:c>
      <x:c r="H83" s="20" t="str">
        <x:f>IF(X83&lt;'Protocol'!$B$23,"Critical",IF(X83&lt;'Protocol'!$B$24,"Clarification","Acceptable"))</x:f>
        <x:v>Acceptable</x:v>
      </x:c>
      <x:c r="I83" s="20" t="str">
        <x:f>IF(T83&gt;=2,"Critical",IF(T83=1,"Clarification","Acceptable"))</x:f>
        <x:v>Acceptable</x:v>
      </x:c>
      <x:c r="J83" s="20" t="str">
        <x:f t="shared" si="4">IF(COUNTIF(F83:I83,"Critical")&gt;0,"High",IF(COUNTIF(F83:I83,"Clarification")&gt;0,"Medium","Low"))</x:f>
        <x:v>High</x:v>
      </x:c>
      <x:c r="K83" s="20" t="str">
        <x:f>"Technical: "&amp;S83&amp;" Schedule: readiness "&amp;V83&amp;" weeks, deadline "&amp;P83&amp;" weeks, buffer "&amp;W83&amp;" weeks ("&amp;G83&amp;"). Commercial: gross margin "&amp;TEXT(X83,"0.0%")&amp;" ("&amp;H83&amp;"). Documentation: "&amp;U83&amp;" Result: "&amp;J83&amp;IF(J83="High"," because at least one domain is Critical.",IF(J83="Medium"," because clarification is required and no domain is Critical."," because all four domains are Acceptable."))</x:f>
        <x:v>Technical: Model assumes the specified connection cannot fit the selected profile geometry; redesign or profile substitution is required. Schedule: readiness 15 weeks, deadline 22 weeks, buffer 7 weeks (Acceptable). Commercial: gross margin 22.0% (Acceptable). Documentation: Model assumes drawings, installation scope and performance requirements are supplied. Result: High because at least one domain is Critical.</x:v>
      </x:c>
      <x:c r="L83" s="20" t="str">
        <x:f>IF(F83="Critical","Revise profile or connection. ",IF(F83="Clarification","Confirm connection and profile compatibility. ",""))&amp;IF(G83="Critical","Revise deadline or procurement/production plan. ",IF(G83="Clarification","Confirm capacity and protect the schedule buffer. ",""))&amp;IF(H83="Critical","Revise price or costs. ",IF(H83="Clarification","Confirm cost allowances and margin. ",""))&amp;IF(I83="Critical","Obtain drawings and performance requirements. ",IF(I83="Clarification","Confirm installation scope. ",""))&amp;IF(J83="Low","Proceed to routine tender checks.","")</x:f>
        <x:v>Revise profile or connection. </x:v>
      </x:c>
      <x:c r="M83" s="20" t="str">
        <x:f t="shared" si="5">IF(J83=B83,"Matches legacy label","Different from legacy label")</x:f>
        <x:v>Matches legacy label</x:v>
      </x:c>
      <x:c r="N83" s="19" t="n">
        <x:v>12</x:v>
      </x:c>
      <x:c r="O83" s="19" t="n">
        <x:v>320</x:v>
      </x:c>
      <x:c r="P83" s="19" t="n">
        <x:v>22</x:v>
      </x:c>
      <x:c r="Q83" s="23" t="n">
        <x:v>48360</x:v>
      </x:c>
      <x:c r="R83" s="19" t="n">
        <x:v>2</x:v>
      </x:c>
      <x:c r="S83" s="21" t="str">
        <x:f>IF(R83=2,"Model assumes the specified connection cannot fit the selected profile geometry; redesign or profile substitution is required.",IF(R83=1,"Model assumes connection and profile compatibility remain to be confirmed; no incompatibility has been established.","Model assumes the selected configuration fulfils the stated requirements; no unresolved technical issue."))</x:f>
        <x:v>Model assumes the specified connection cannot fit the selected profile geometry; redesign or profile substitution is required.</x:v>
      </x:c>
      <x:c r="T83" s="19" t="n">
        <x:v>0</x:v>
      </x:c>
      <x:c r="U83" s="21" t="str">
        <x:f>IF(T83&gt;=2,"Model assumes both final drawings and performance requirements are absent, preventing confirmation of scope and price.",IF(T83=1,"Model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83" s="12" t="n">
        <x:f>N83+ROUNDUP('Original data'!F83/O83,0)</x:f>
        <x:v>15</x:v>
      </x:c>
      <x:c r="W83" s="12" t="n">
        <x:f>P83-V83</x:f>
        <x:v>7</x:v>
      </x:c>
      <x:c r="X83" s="22" t="n">
        <x:f>ROUND(('Original data'!E83-Q83)/'Original data'!E83,10)</x:f>
        <x:v>0.22</x:v>
      </x:c>
      <x:c r="Y83" s="12" t="str">
        <x:v>Synthetic domain-informed scenario; seed 20261002</x:v>
      </x:c>
      <x:c r="Z83" s="12" t="str">
        <x:v>Scenario 082</x:v>
      </x:c>
    </x:row>
    <x:row r="84" ht="140" customHeight="1">
      <x:c r="A84" s="13" t="s">
        <x:v>85</x:v>
      </x:c>
      <x:c r="B84" s="13" t="s">
        <x:v>3</x:v>
      </x:c>
      <x:c r="C84" s="13" t="s">
        <x:v>3</x:v>
      </x:c>
      <x:c r="D84" s="13" t="str">
        <x:v>Synthetic scenario 083. Elements: Curtain Wall only. Systems: FWS 50. Complexity: Medium; profile: Non-standard; wind: High; region: Inland. Value GBP 245,000; fabrication 2556 h. Physical dimensions and structural capacity are not calculated.</x:v>
      </x:c>
      <x:c r="E84" s="13" t="str">
        <x:v>All added conditions are synthetic assumptions. Statuses follow the Protocol; no historical outcomes or independent expert validation.</x:v>
      </x:c>
      <x:c r="F84" s="20" t="str">
        <x:f>IF(R84=2,"Critical",IF(R84=1,"Clarification","Acceptable"))</x:f>
        <x:v>Acceptable</x:v>
      </x:c>
      <x:c r="G84" s="20" t="str">
        <x:f>IF(W84&lt;0,"Critical",IF(W84&lt;'Protocol'!$B$25,"Clarification","Acceptable"))</x:f>
        <x:v>Acceptable</x:v>
      </x:c>
      <x:c r="H84" s="20" t="str">
        <x:f>IF(X84&lt;'Protocol'!$B$23,"Critical",IF(X84&lt;'Protocol'!$B$24,"Clarification","Acceptable"))</x:f>
        <x:v>Acceptable</x:v>
      </x:c>
      <x:c r="I84" s="20" t="str">
        <x:f>IF(T84&gt;=2,"Critical",IF(T84=1,"Clarification","Acceptable"))</x:f>
        <x:v>Clarification</x:v>
      </x:c>
      <x:c r="J84" s="20" t="str">
        <x:f t="shared" si="4">IF(COUNTIF(F84:I84,"Critical")&gt;0,"High",IF(COUNTIF(F84:I84,"Clarification")&gt;0,"Medium","Low"))</x:f>
        <x:v>Medium</x:v>
      </x:c>
      <x:c r="K84" s="20" t="str">
        <x:f>"Technical: "&amp;S84&amp;" Schedule: readiness "&amp;V84&amp;" weeks, deadline "&amp;P84&amp;" weeks, buffer "&amp;W84&amp;" weeks ("&amp;G84&amp;"). Commercial: gross margin "&amp;TEXT(X84,"0.0%")&amp;" ("&amp;H84&amp;"). Documentation: "&amp;U84&amp;" Result: "&amp;J84&amp;IF(J84="High"," because at least one domain is Critical.",IF(J84="Medium"," because clarification is required and no domain is Critical."," because all four domains are Acceptable."))</x:f>
        <x:v>Technical: Model assumes the selected configuration fulfils the stated requirements; no unresolved technical issue. Schedule: readiness 20 weeks, deadline 23 weeks, buffer 3 weeks (Acceptable). Commercial: gross margin 18.0% (Acceptable). Documentation: Model assumes the installation scope requires written confirmation; drawings and performance requirements are supplied. Result: Medium because clarification is required and no domain is Critical.</x:v>
      </x:c>
      <x:c r="L84" s="20" t="str">
        <x:f>IF(F84="Critical","Revise profile or connection. ",IF(F84="Clarification","Confirm connection and profile compatibility. ",""))&amp;IF(G84="Critical","Revise deadline or procurement/production plan. ",IF(G84="Clarification","Confirm capacity and protect the schedule buffer. ",""))&amp;IF(H84="Critical","Revise price or costs. ",IF(H84="Clarification","Confirm cost allowances and margin. ",""))&amp;IF(I84="Critical","Obtain drawings and performance requirements. ",IF(I84="Clarification","Confirm installation scope. ",""))&amp;IF(J84="Low","Proceed to routine tender checks.","")</x:f>
        <x:v>Confirm installation scope. </x:v>
      </x:c>
      <x:c r="M84" s="20" t="str">
        <x:f t="shared" si="5">IF(J84=B84,"Matches legacy label","Different from legacy label")</x:f>
        <x:v>Different from legacy label</x:v>
      </x:c>
      <x:c r="N84" s="19" t="n">
        <x:v>12</x:v>
      </x:c>
      <x:c r="O84" s="19" t="n">
        <x:v>320</x:v>
      </x:c>
      <x:c r="P84" s="19" t="n">
        <x:v>23</x:v>
      </x:c>
      <x:c r="Q84" s="23" t="n">
        <x:v>200900</x:v>
      </x:c>
      <x:c r="R84" s="19" t="n">
        <x:v>0</x:v>
      </x:c>
      <x:c r="S84" s="21" t="str">
        <x:f>IF(R84=2,"Model assumes the specified connection cannot fit the selected profile geometry; redesign or profile substitution is required.",IF(R84=1,"Model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84" s="19" t="n">
        <x:v>1</x:v>
      </x:c>
      <x:c r="U84" s="21" t="str">
        <x:f>IF(T84&gt;=2,"Model assumes both final drawings and performance requirements are absent, preventing confirmation of scope and price.",IF(T84=1,"Model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84" s="12" t="n">
        <x:f>N84+ROUNDUP('Original data'!F84/O84,0)</x:f>
        <x:v>20</x:v>
      </x:c>
      <x:c r="W84" s="12" t="n">
        <x:f>P84-V84</x:f>
        <x:v>3</x:v>
      </x:c>
      <x:c r="X84" s="22" t="n">
        <x:f>ROUND(('Original data'!E84-Q84)/'Original data'!E84,10)</x:f>
        <x:v>0.18</x:v>
      </x:c>
      <x:c r="Y84" s="12" t="str">
        <x:v>Synthetic domain-informed scenario; seed 20261002</x:v>
      </x:c>
      <x:c r="Z84" s="12" t="str">
        <x:v>Scenario 083</x:v>
      </x:c>
    </x:row>
    <x:row r="85" ht="140" customHeight="1">
      <x:c r="A85" s="13" t="s">
        <x:v>86</x:v>
      </x:c>
      <x:c r="B85" s="13" t="s">
        <x:v>3</x:v>
      </x:c>
      <x:c r="C85" s="13" t="s">
        <x:v>1</x:v>
      </x:c>
      <x:c r="D85" s="13" t="str">
        <x:v>Synthetic scenario 084. Elements: Windows + Doors (High Insulation). Systems: AWS 75.SI+ / ASE 80.HI. Complexity: High; profile: Non-standard; wind: Low; region: Industrial. Value GBP 131,000; fabrication 200 h. Physical dimensions and structural capacity are not calculated.</x:v>
      </x:c>
      <x:c r="E85" s="13" t="str">
        <x:v>All added conditions are synthetic assumptions. Statuses follow the Protocol; no historical outcomes or independent expert validation.</x:v>
      </x:c>
      <x:c r="F85" s="20" t="str">
        <x:f>IF(R85=2,"Critical",IF(R85=1,"Clarification","Acceptable"))</x:f>
        <x:v>Acceptable</x:v>
      </x:c>
      <x:c r="G85" s="20" t="str">
        <x:f>IF(W85&lt;0,"Critical",IF(W85&lt;'Protocol'!$B$25,"Clarification","Acceptable"))</x:f>
        <x:v>Acceptable</x:v>
      </x:c>
      <x:c r="H85" s="20" t="str">
        <x:f>IF(X85&lt;'Protocol'!$B$23,"Critical",IF(X85&lt;'Protocol'!$B$24,"Clarification","Acceptable"))</x:f>
        <x:v>Acceptable</x:v>
      </x:c>
      <x:c r="I85" s="20" t="str">
        <x:f>IF(T85&gt;=2,"Critical",IF(T85=1,"Clarification","Acceptable"))</x:f>
        <x:v>Clarification</x:v>
      </x:c>
      <x:c r="J85" s="20" t="str">
        <x:f t="shared" si="4">IF(COUNTIF(F85:I85,"Critical")&gt;0,"High",IF(COUNTIF(F85:I85,"Clarification")&gt;0,"Medium","Low"))</x:f>
        <x:v>Medium</x:v>
      </x:c>
      <x:c r="K85" s="20" t="str">
        <x:f>"Technical: "&amp;S85&amp;" Schedule: readiness "&amp;V85&amp;" weeks, deadline "&amp;P85&amp;" weeks, buffer "&amp;W85&amp;" weeks ("&amp;G85&amp;"). Commercial: gross margin "&amp;TEXT(X85,"0.0%")&amp;" ("&amp;H85&amp;"). Documentation: "&amp;U85&amp;" Result: "&amp;J85&amp;IF(J85="High"," because at least one domain is Critical.",IF(J85="Medium"," because clarification is required and no domain is Critical."," because all four domains are Acceptable."))</x:f>
        <x:v>Technical: Model assumes the selected configuration fulfils the stated requirements; no unresolved technical issue. Schedule: readiness 13 weeks, deadline 20 weeks, buffer 7 weeks (Acceptable). Commercial: gross margin 22.0% (Acceptable). Documentation: Model assumes the installation scope requires written confirmation; drawings and performance requirements are supplied. Result: Medium because clarification is required and no domain is Critical.</x:v>
      </x:c>
      <x:c r="L85" s="20" t="str">
        <x:f>IF(F85="Critical","Revise profile or connection. ",IF(F85="Clarification","Confirm connection and profile compatibility. ",""))&amp;IF(G85="Critical","Revise deadline or procurement/production plan. ",IF(G85="Clarification","Confirm capacity and protect the schedule buffer. ",""))&amp;IF(H85="Critical","Revise price or costs. ",IF(H85="Clarification","Confirm cost allowances and margin. ",""))&amp;IF(I85="Critical","Obtain drawings and performance requirements. ",IF(I85="Clarification","Confirm installation scope. ",""))&amp;IF(J85="Low","Proceed to routine tender checks.","")</x:f>
        <x:v>Confirm installation scope. </x:v>
      </x:c>
      <x:c r="M85" s="20" t="str">
        <x:f t="shared" si="5">IF(J85=B85,"Matches legacy label","Different from legacy label")</x:f>
        <x:v>Different from legacy label</x:v>
      </x:c>
      <x:c r="N85" s="19" t="n">
        <x:v>12</x:v>
      </x:c>
      <x:c r="O85" s="19" t="n">
        <x:v>240</x:v>
      </x:c>
      <x:c r="P85" s="19" t="n">
        <x:v>20</x:v>
      </x:c>
      <x:c r="Q85" s="23" t="n">
        <x:v>102180</x:v>
      </x:c>
      <x:c r="R85" s="19" t="n">
        <x:v>0</x:v>
      </x:c>
      <x:c r="S85" s="21" t="str">
        <x:f>IF(R85=2,"Model assumes the specified connection cannot fit the selected profile geometry; redesign or profile substitution is required.",IF(R85=1,"Model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85" s="19" t="n">
        <x:v>1</x:v>
      </x:c>
      <x:c r="U85" s="21" t="str">
        <x:f>IF(T85&gt;=2,"Model assumes both final drawings and performance requirements are absent, preventing confirmation of scope and price.",IF(T85=1,"Model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85" s="12" t="n">
        <x:f>N85+ROUNDUP('Original data'!F85/O85,0)</x:f>
        <x:v>13</x:v>
      </x:c>
      <x:c r="W85" s="12" t="n">
        <x:f>P85-V85</x:f>
        <x:v>7</x:v>
      </x:c>
      <x:c r="X85" s="22" t="n">
        <x:f>ROUND(('Original data'!E85-Q85)/'Original data'!E85,10)</x:f>
        <x:v>0.22</x:v>
      </x:c>
      <x:c r="Y85" s="12" t="str">
        <x:v>Synthetic domain-informed scenario; seed 20261002</x:v>
      </x:c>
      <x:c r="Z85" s="12" t="str">
        <x:v>Scenario 084</x:v>
      </x:c>
    </x:row>
    <x:row r="86" ht="140" customHeight="1">
      <x:c r="A86" s="13" t="s">
        <x:v>87</x:v>
      </x:c>
      <x:c r="B86" s="13" t="s">
        <x:v>1</x:v>
      </x:c>
      <x:c r="C86" s="13" t="s">
        <x:v>1</x:v>
      </x:c>
      <x:c r="D86" s="13" t="str">
        <x:v>Synthetic scenario 085. Elements: Curtain Wall only. Systems: FWS 50. Complexity: Medium; profile: Non-standard; wind: Low; region: Mountain. Value GBP 100,000; fabrication 788 h. Physical dimensions and structural capacity are not calculated.</x:v>
      </x:c>
      <x:c r="E86" s="13" t="str">
        <x:v>All added conditions are synthetic assumptions. Statuses follow the Protocol; no historical outcomes or independent expert validation.</x:v>
      </x:c>
      <x:c r="F86" s="20" t="str">
        <x:f>IF(R86=2,"Critical",IF(R86=1,"Clarification","Acceptable"))</x:f>
        <x:v>Acceptable</x:v>
      </x:c>
      <x:c r="G86" s="20" t="str">
        <x:f>IF(W86&lt;0,"Critical",IF(W86&lt;'Protocol'!$B$25,"Clarification","Acceptable"))</x:f>
        <x:v>Acceptable</x:v>
      </x:c>
      <x:c r="H86" s="20" t="str">
        <x:f>IF(X86&lt;'Protocol'!$B$23,"Critical",IF(X86&lt;'Protocol'!$B$24,"Clarification","Acceptable"))</x:f>
        <x:v>Acceptable</x:v>
      </x:c>
      <x:c r="I86" s="20" t="str">
        <x:f>IF(T86&gt;=2,"Critical",IF(T86=1,"Clarification","Acceptable"))</x:f>
        <x:v>Acceptable</x:v>
      </x:c>
      <x:c r="J86" s="20" t="str">
        <x:f t="shared" si="4">IF(COUNTIF(F86:I86,"Critical")&gt;0,"High",IF(COUNTIF(F86:I86,"Clarification")&gt;0,"Medium","Low"))</x:f>
        <x:v>Low</x:v>
      </x:c>
      <x:c r="K86" s="20" t="str">
        <x:f>"Technical: "&amp;S86&amp;" Schedule: readiness "&amp;V86&amp;" weeks, deadline "&amp;P86&amp;" weeks, buffer "&amp;W86&amp;" weeks ("&amp;G86&amp;"). Commercial: gross margin "&amp;TEXT(X86,"0.0%")&amp;" ("&amp;H86&amp;"). Documentation: "&amp;U86&amp;" Result: "&amp;J86&amp;IF(J86="High"," because at least one domain is Critical.",IF(J86="Medium"," because clarification is required and no domain is Critical."," because all four domains are Acceptable."))</x:f>
        <x:v>Technical: Model assumes the selected configuration fulfils the stated requirements; no unresolved technical issue. Schedule: readiness 15 weeks, deadline 18 weeks, buffer 3 weeks (Acceptable). Commercial: gross margin 18.0% (Acceptable). Documentation: Model assumes drawings, installation scope and performance requirements are supplied. Result: Low because all four domains are Acceptable.</x:v>
      </x:c>
      <x:c r="L86" s="20" t="str">
        <x:f>IF(F86="Critical","Revise profile or connection. ",IF(F86="Clarification","Confirm connection and profile compatibility. ",""))&amp;IF(G86="Critical","Revise deadline or procurement/production plan. ",IF(G86="Clarification","Confirm capacity and protect the schedule buffer. ",""))&amp;IF(H86="Critical","Revise price or costs. ",IF(H86="Clarification","Confirm cost allowances and margin. ",""))&amp;IF(I86="Critical","Obtain drawings and performance requirements. ",IF(I86="Clarification","Confirm installation scope. ",""))&amp;IF(J86="Low","Proceed to routine tender checks.","")</x:f>
        <x:v>Proceed to routine tender checks.</x:v>
      </x:c>
      <x:c r="M86" s="20" t="str">
        <x:f t="shared" si="5">IF(J86=B86,"Matches legacy label","Different from legacy label")</x:f>
        <x:v>Different from legacy label</x:v>
      </x:c>
      <x:c r="N86" s="19" t="n">
        <x:v>12</x:v>
      </x:c>
      <x:c r="O86" s="19" t="n">
        <x:v>320</x:v>
      </x:c>
      <x:c r="P86" s="19" t="n">
        <x:v>18</x:v>
      </x:c>
      <x:c r="Q86" s="23" t="n">
        <x:v>82000</x:v>
      </x:c>
      <x:c r="R86" s="19" t="n">
        <x:v>0</x:v>
      </x:c>
      <x:c r="S86" s="21" t="str">
        <x:f>IF(R86=2,"Model assumes the specified connection cannot fit the selected profile geometry; redesign or profile substitution is required.",IF(R86=1,"Model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86" s="19" t="n">
        <x:v>0</x:v>
      </x:c>
      <x:c r="U86" s="21" t="str">
        <x:f>IF(T86&gt;=2,"Model assumes both final drawings and performance requirements are absent, preventing confirmation of scope and price.",IF(T86=1,"Model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86" s="12" t="n">
        <x:f>N86+ROUNDUP('Original data'!F86/O86,0)</x:f>
        <x:v>15</x:v>
      </x:c>
      <x:c r="W86" s="12" t="n">
        <x:f>P86-V86</x:f>
        <x:v>3</x:v>
      </x:c>
      <x:c r="X86" s="22" t="n">
        <x:f>ROUND(('Original data'!E86-Q86)/'Original data'!E86,10)</x:f>
        <x:v>0.18</x:v>
      </x:c>
      <x:c r="Y86" s="12" t="str">
        <x:v>Synthetic domain-informed scenario; seed 20261002</x:v>
      </x:c>
      <x:c r="Z86" s="12" t="str">
        <x:v>Scenario 085</x:v>
      </x:c>
    </x:row>
    <x:row r="87" ht="140" customHeight="1">
      <x:c r="A87" s="13" t="s">
        <x:v>88</x:v>
      </x:c>
      <x:c r="B87" s="13" t="s">
        <x:v>3</x:v>
      </x:c>
      <x:c r="C87" s="13" t="s">
        <x:v>3</x:v>
      </x:c>
      <x:c r="D87" s="13" t="str">
        <x:v>Synthetic scenario 086. Elements: Windows + Doors (High Insulation). Systems: AWS 75.SI+ / ASE 80.HI. Complexity: High; profile: Non-standard; wind: High; region: Urban. Value GBP 137,000; fabrication 2514 h. Physical dimensions and structural capacity are not calculated.</x:v>
      </x:c>
      <x:c r="E87" s="13" t="str">
        <x:v>All added conditions are synthetic assumptions. Statuses follow the Protocol; no historical outcomes or independent expert validation.</x:v>
      </x:c>
      <x:c r="F87" s="20" t="str">
        <x:f>IF(R87=2,"Critical",IF(R87=1,"Clarification","Acceptable"))</x:f>
        <x:v>Acceptable</x:v>
      </x:c>
      <x:c r="G87" s="20" t="str">
        <x:f>IF(W87&lt;0,"Critical",IF(W87&lt;'Protocol'!$B$25,"Clarification","Acceptable"))</x:f>
        <x:v>Clarification</x:v>
      </x:c>
      <x:c r="H87" s="20" t="str">
        <x:f>IF(X87&lt;'Protocol'!$B$23,"Critical",IF(X87&lt;'Protocol'!$B$24,"Clarification","Acceptable"))</x:f>
        <x:v>Clarification</x:v>
      </x:c>
      <x:c r="I87" s="20" t="str">
        <x:f>IF(T87&gt;=2,"Critical",IF(T87=1,"Clarification","Acceptable"))</x:f>
        <x:v>Acceptable</x:v>
      </x:c>
      <x:c r="J87" s="20" t="str">
        <x:f t="shared" si="4">IF(COUNTIF(F87:I87,"Critical")&gt;0,"High",IF(COUNTIF(F87:I87,"Clarification")&gt;0,"Medium","Low"))</x:f>
        <x:v>Medium</x:v>
      </x:c>
      <x:c r="K87" s="20" t="str">
        <x:f>"Technical: "&amp;S87&amp;" Schedule: readiness "&amp;V87&amp;" weeks, deadline "&amp;P87&amp;" weeks, buffer "&amp;W87&amp;" weeks ("&amp;G87&amp;"). Commercial: gross margin "&amp;TEXT(X87,"0.0%")&amp;" ("&amp;H87&amp;"). Documentation: "&amp;U87&amp;" Result: "&amp;J87&amp;IF(J87="High"," because at least one domain is Critical.",IF(J87="Medium"," because clarification is required and no domain is Critical."," because all four domains are Acceptable."))</x:f>
        <x:v>Technical: Model assumes the selected configuration fulfils the stated requirements; no unresolved technical issue. Schedule: readiness 23 weeks, deadline 24 weeks, buffer 1 weeks (Clarification). Commercial: gross margin 12.0% (Clarification). Documentation: Model assumes drawings, installation scope and performance requirements are supplied. Result: Medium because clarification is required and no domain is Critical.</x:v>
      </x:c>
      <x:c r="L87" s="20" t="str">
        <x:f>IF(F87="Critical","Revise profile or connection. ",IF(F87="Clarification","Confirm connection and profile compatibility. ",""))&amp;IF(G87="Critical","Revise deadline or procurement/production plan. ",IF(G87="Clarification","Confirm capacity and protect the schedule buffer. ",""))&amp;IF(H87="Critical","Revise price or costs. ",IF(H87="Clarification","Confirm cost allowances and margin. ",""))&amp;IF(I87="Critical","Obtain drawings and performance requirements. ",IF(I87="Clarification","Confirm installation scope. ",""))&amp;IF(J87="Low","Proceed to routine tender checks.","")</x:f>
        <x:v>Confirm capacity and protect the schedule buffer. Confirm cost allowances and margin. </x:v>
      </x:c>
      <x:c r="M87" s="20" t="str">
        <x:f t="shared" si="5">IF(J87=B87,"Matches legacy label","Different from legacy label")</x:f>
        <x:v>Different from legacy label</x:v>
      </x:c>
      <x:c r="N87" s="19" t="n">
        <x:v>12</x:v>
      </x:c>
      <x:c r="O87" s="19" t="n">
        <x:v>240</x:v>
      </x:c>
      <x:c r="P87" s="19" t="n">
        <x:v>24</x:v>
      </x:c>
      <x:c r="Q87" s="23" t="n">
        <x:v>120560</x:v>
      </x:c>
      <x:c r="R87" s="19" t="n">
        <x:v>0</x:v>
      </x:c>
      <x:c r="S87" s="21" t="str">
        <x:f>IF(R87=2,"Model assumes the specified connection cannot fit the selected profile geometry; redesign or profile substitution is required.",IF(R87=1,"Model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87" s="19" t="n">
        <x:v>0</x:v>
      </x:c>
      <x:c r="U87" s="21" t="str">
        <x:f>IF(T87&gt;=2,"Model assumes both final drawings and performance requirements are absent, preventing confirmation of scope and price.",IF(T87=1,"Model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87" s="12" t="n">
        <x:f>N87+ROUNDUP('Original data'!F87/O87,0)</x:f>
        <x:v>23</x:v>
      </x:c>
      <x:c r="W87" s="12" t="n">
        <x:f>P87-V87</x:f>
        <x:v>1</x:v>
      </x:c>
      <x:c r="X87" s="22" t="n">
        <x:f>ROUND(('Original data'!E87-Q87)/'Original data'!E87,10)</x:f>
        <x:v>0.12</x:v>
      </x:c>
      <x:c r="Y87" s="12" t="str">
        <x:v>Synthetic domain-informed scenario; seed 20261002</x:v>
      </x:c>
      <x:c r="Z87" s="12" t="str">
        <x:v>Scenario 086</x:v>
      </x:c>
    </x:row>
    <x:row r="88" ht="140" customHeight="1">
      <x:c r="A88" s="13" t="s">
        <x:v>89</x:v>
      </x:c>
      <x:c r="B88" s="13" t="s">
        <x:v>1</x:v>
      </x:c>
      <x:c r="C88" s="13" t="s">
        <x:v>1</x:v>
      </x:c>
      <x:c r="D88" s="13" t="str">
        <x:v>Synthetic scenario 087. Elements: Windows + Doors + Curtain Wall. Systems: AWS 75.SI+ / FWS 50 / AD UP 75. Complexity: Medium; profile: Standard; wind: Low; region: Coastal. Value GBP 660,000; fabrication 5264 h. Physical dimensions and structural capacity are not calculated.</x:v>
      </x:c>
      <x:c r="E88" s="13" t="str">
        <x:v>All added conditions are synthetic assumptions. Statuses follow the Protocol; no historical outcomes or independent expert validation.</x:v>
      </x:c>
      <x:c r="F88" s="20" t="str">
        <x:f>IF(R88=2,"Critical",IF(R88=1,"Clarification","Acceptable"))</x:f>
        <x:v>Clarification</x:v>
      </x:c>
      <x:c r="G88" s="20" t="str">
        <x:f>IF(W88&lt;0,"Critical",IF(W88&lt;'Protocol'!$B$25,"Clarification","Acceptable"))</x:f>
        <x:v>Acceptable</x:v>
      </x:c>
      <x:c r="H88" s="20" t="str">
        <x:f>IF(X88&lt;'Protocol'!$B$23,"Critical",IF(X88&lt;'Protocol'!$B$24,"Clarification","Acceptable"))</x:f>
        <x:v>Acceptable</x:v>
      </x:c>
      <x:c r="I88" s="20" t="str">
        <x:f>IF(T88&gt;=2,"Critical",IF(T88=1,"Clarification","Acceptable"))</x:f>
        <x:v>Acceptable</x:v>
      </x:c>
      <x:c r="J88" s="20" t="str">
        <x:f t="shared" si="4">IF(COUNTIF(F88:I88,"Critical")&gt;0,"High",IF(COUNTIF(F88:I88,"Clarification")&gt;0,"Medium","Low"))</x:f>
        <x:v>Medium</x:v>
      </x:c>
      <x:c r="K88" s="20" t="str">
        <x:f>"Technical: "&amp;S88&amp;" Schedule: readiness "&amp;V88&amp;" weeks, deadline "&amp;P88&amp;" weeks, buffer "&amp;W88&amp;" weeks ("&amp;G88&amp;"). Commercial: gross margin "&amp;TEXT(X88,"0.0%")&amp;" ("&amp;H88&amp;"). Documentation: "&amp;U88&amp;" Result: "&amp;J88&amp;IF(J88="High"," because at least one domain is Critical.",IF(J88="Medium","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32 weeks, deadline 39 weeks, buffer 7 weeks (Acceptable). Commercial: gross margin 22.0% (Acceptable). Documentation: Model assumes drawings, installation scope and performance requirements are supplied. Result: Medium because clarification is required and no domain is Critical.</x:v>
      </x:c>
      <x:c r="L88" s="20" t="str">
        <x:f>IF(F88="Critical","Revise profile or connection. ",IF(F88="Clarification","Confirm connection and profile compatibility. ",""))&amp;IF(G88="Critical","Revise deadline or procurement/production plan. ",IF(G88="Clarification","Confirm capacity and protect the schedule buffer. ",""))&amp;IF(H88="Critical","Revise price or costs. ",IF(H88="Clarification","Confirm cost allowances and margin. ",""))&amp;IF(I88="Critical","Obtain drawings and performance requirements. ",IF(I88="Clarification","Confirm installation scope. ",""))&amp;IF(J88="Low","Proceed to routine tender checks.","")</x:f>
        <x:v>Confirm connection and profile compatibility. </x:v>
      </x:c>
      <x:c r="M88" s="20" t="str">
        <x:f t="shared" si="5">IF(J88=B88,"Matches legacy label","Different from legacy label")</x:f>
        <x:v>Matches legacy label</x:v>
      </x:c>
      <x:c r="N88" s="19" t="n">
        <x:v>10</x:v>
      </x:c>
      <x:c r="O88" s="19" t="n">
        <x:v>240</x:v>
      </x:c>
      <x:c r="P88" s="19" t="n">
        <x:v>39</x:v>
      </x:c>
      <x:c r="Q88" s="23" t="n">
        <x:v>514800</x:v>
      </x:c>
      <x:c r="R88" s="19" t="n">
        <x:v>1</x:v>
      </x:c>
      <x:c r="S88" s="21" t="str">
        <x:f>IF(R88=2,"Model assumes the specified connection cannot fit the selected profile geometry; redesign or profile substitution is required.",IF(R88=1,"Model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88" s="19" t="n">
        <x:v>0</x:v>
      </x:c>
      <x:c r="U88" s="21" t="str">
        <x:f>IF(T88&gt;=2,"Model assumes both final drawings and performance requirements are absent, preventing confirmation of scope and price.",IF(T88=1,"Model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88" s="12" t="n">
        <x:f>N88+ROUNDUP('Original data'!F88/O88,0)</x:f>
        <x:v>32</x:v>
      </x:c>
      <x:c r="W88" s="12" t="n">
        <x:f>P88-V88</x:f>
        <x:v>7</x:v>
      </x:c>
      <x:c r="X88" s="22" t="n">
        <x:f>ROUND(('Original data'!E88-Q88)/'Original data'!E88,10)</x:f>
        <x:v>0.22</x:v>
      </x:c>
      <x:c r="Y88" s="12" t="str">
        <x:v>Synthetic domain-informed scenario; seed 20261002</x:v>
      </x:c>
      <x:c r="Z88" s="12" t="str">
        <x:v>Scenario 087</x:v>
      </x:c>
    </x:row>
    <x:row r="89" ht="140" customHeight="1">
      <x:c r="A89" s="13" t="s">
        <x:v>90</x:v>
      </x:c>
      <x:c r="B89" s="13" t="s">
        <x:v>7</x:v>
      </x:c>
      <x:c r="C89" s="13" t="s">
        <x:v>7</x:v>
      </x:c>
      <x:c r="D89" s="13" t="str">
        <x:v>Synthetic scenario 088. Elements: Windows + Doors + Curtain Wall. Systems: AWS 75.SI+ / FWS 50 / AD UP 75. Complexity: Medium; profile: Standard; wind: Low; region: Industrial. Value GBP 108,000; fabrication 983 h. Physical dimensions and structural capacity are not calculated.</x:v>
      </x:c>
      <x:c r="E89" s="13" t="str">
        <x:v>All added conditions are synthetic assumptions. Statuses follow the Protocol; no historical outcomes or independent expert validation.</x:v>
      </x:c>
      <x:c r="F89" s="20" t="str">
        <x:f>IF(R89=2,"Critical",IF(R89=1,"Clarification","Acceptable"))</x:f>
        <x:v>Clarification</x:v>
      </x:c>
      <x:c r="G89" s="20" t="str">
        <x:f>IF(W89&lt;0,"Critical",IF(W89&lt;'Protocol'!$B$25,"Clarification","Acceptable"))</x:f>
        <x:v>Acceptable</x:v>
      </x:c>
      <x:c r="H89" s="20" t="str">
        <x:f>IF(X89&lt;'Protocol'!$B$23,"Critical",IF(X89&lt;'Protocol'!$B$24,"Clarification","Acceptable"))</x:f>
        <x:v>Acceptable</x:v>
      </x:c>
      <x:c r="I89" s="20" t="str">
        <x:f>IF(T89&gt;=2,"Critical",IF(T89=1,"Clarification","Acceptable"))</x:f>
        <x:v>Acceptable</x:v>
      </x:c>
      <x:c r="J89" s="20" t="str">
        <x:f t="shared" si="4">IF(COUNTIF(F89:I89,"Critical")&gt;0,"High",IF(COUNTIF(F89:I89,"Clarification")&gt;0,"Medium","Low"))</x:f>
        <x:v>Medium</x:v>
      </x:c>
      <x:c r="K89" s="20" t="str">
        <x:f>"Technical: "&amp;S89&amp;" Schedule: readiness "&amp;V89&amp;" weeks, deadline "&amp;P89&amp;" weeks, buffer "&amp;W89&amp;" weeks ("&amp;G89&amp;"). Commercial: gross margin "&amp;TEXT(X89,"0.0%")&amp;" ("&amp;H89&amp;"). Documentation: "&amp;U89&amp;" Result: "&amp;J89&amp;IF(J89="High"," because at least one domain is Critical.",IF(J89="Medium","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14 weeks, deadline 17 weeks, buffer 3 weeks (Acceptable). Commercial: gross margin 26.0% (Acceptable). Documentation: Model assumes drawings, installation scope and performance requirements are supplied. Result: Medium because clarification is required and no domain is Critical.</x:v>
      </x:c>
      <x:c r="L89" s="20" t="str">
        <x:f>IF(F89="Critical","Revise profile or connection. ",IF(F89="Clarification","Confirm connection and profile compatibility. ",""))&amp;IF(G89="Critical","Revise deadline or procurement/production plan. ",IF(G89="Clarification","Confirm capacity and protect the schedule buffer. ",""))&amp;IF(H89="Critical","Revise price or costs. ",IF(H89="Clarification","Confirm cost allowances and margin. ",""))&amp;IF(I89="Critical","Obtain drawings and performance requirements. ",IF(I89="Clarification","Confirm installation scope. ",""))&amp;IF(J89="Low","Proceed to routine tender checks.","")</x:f>
        <x:v>Confirm connection and profile compatibility. </x:v>
      </x:c>
      <x:c r="M89" s="20" t="str">
        <x:f t="shared" si="5">IF(J89=B89,"Matches legacy label","Different from legacy label")</x:f>
        <x:v>Different from legacy label</x:v>
      </x:c>
      <x:c r="N89" s="19" t="n">
        <x:v>10</x:v>
      </x:c>
      <x:c r="O89" s="19" t="n">
        <x:v>320</x:v>
      </x:c>
      <x:c r="P89" s="19" t="n">
        <x:v>17</x:v>
      </x:c>
      <x:c r="Q89" s="23" t="n">
        <x:v>79920</x:v>
      </x:c>
      <x:c r="R89" s="19" t="n">
        <x:v>1</x:v>
      </x:c>
      <x:c r="S89" s="21" t="str">
        <x:f>IF(R89=2,"Model assumes the specified connection cannot fit the selected profile geometry; redesign or profile substitution is required.",IF(R89=1,"Model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89" s="19" t="n">
        <x:v>0</x:v>
      </x:c>
      <x:c r="U89" s="21" t="str">
        <x:f>IF(T89&gt;=2,"Model assumes both final drawings and performance requirements are absent, preventing confirmation of scope and price.",IF(T89=1,"Model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89" s="12" t="n">
        <x:f>N89+ROUNDUP('Original data'!F89/O89,0)</x:f>
        <x:v>14</x:v>
      </x:c>
      <x:c r="W89" s="12" t="n">
        <x:f>P89-V89</x:f>
        <x:v>3</x:v>
      </x:c>
      <x:c r="X89" s="22" t="n">
        <x:f>ROUND(('Original data'!E89-Q89)/'Original data'!E89,10)</x:f>
        <x:v>0.26</x:v>
      </x:c>
      <x:c r="Y89" s="12" t="str">
        <x:v>Synthetic domain-informed scenario; seed 20261002</x:v>
      </x:c>
      <x:c r="Z89" s="12" t="str">
        <x:v>Scenario 088</x:v>
      </x:c>
    </x:row>
    <x:row r="90" ht="140" customHeight="1">
      <x:c r="A90" s="13" t="s">
        <x:v>91</x:v>
      </x:c>
      <x:c r="B90" s="13" t="s">
        <x:v>7</x:v>
      </x:c>
      <x:c r="C90" s="13" t="s">
        <x:v>7</x:v>
      </x:c>
      <x:c r="D90" s="13" t="str">
        <x:v>Synthetic scenario 089. Elements: Windows + Curtain Wall. Systems: AWS 75.SI+ / FWS 50. Complexity: Medium; profile: Standard; wind: Low; region: Mountain. Value GBP 130,000; fabrication 498 h. Physical dimensions and structural capacity are not calculated.</x:v>
      </x:c>
      <x:c r="E90" s="13" t="str">
        <x:v>All added conditions are synthetic assumptions. Statuses follow the Protocol; no historical outcomes or independent expert validation.</x:v>
      </x:c>
      <x:c r="F90" s="20" t="str">
        <x:f>IF(R90=2,"Critical",IF(R90=1,"Clarification","Acceptable"))</x:f>
        <x:v>Clarification</x:v>
      </x:c>
      <x:c r="G90" s="20" t="str">
        <x:f>IF(W90&lt;0,"Critical",IF(W90&lt;'Protocol'!$B$25,"Clarification","Acceptable"))</x:f>
        <x:v>Acceptable</x:v>
      </x:c>
      <x:c r="H90" s="20" t="str">
        <x:f>IF(X90&lt;'Protocol'!$B$23,"Critical",IF(X90&lt;'Protocol'!$B$24,"Clarification","Acceptable"))</x:f>
        <x:v>Acceptable</x:v>
      </x:c>
      <x:c r="I90" s="20" t="str">
        <x:f>IF(T90&gt;=2,"Critical",IF(T90=1,"Clarification","Acceptable"))</x:f>
        <x:v>Clarification</x:v>
      </x:c>
      <x:c r="J90" s="20" t="str">
        <x:f t="shared" si="4">IF(COUNTIF(F90:I90,"Critical")&gt;0,"High",IF(COUNTIF(F90:I90,"Clarification")&gt;0,"Medium","Low"))</x:f>
        <x:v>Medium</x:v>
      </x:c>
      <x:c r="K90" s="20" t="str">
        <x:f>"Technical: "&amp;S90&amp;" Schedule: readiness "&amp;V90&amp;" weeks, deadline "&amp;P90&amp;" weeks, buffer "&amp;W90&amp;" weeks ("&amp;G90&amp;"). Commercial: gross margin "&amp;TEXT(X90,"0.0%")&amp;" ("&amp;H90&amp;"). Documentation: "&amp;U90&amp;" Result: "&amp;J90&amp;IF(J90="High"," because at least one domain is Critical.",IF(J90="Medium","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13 weeks, deadline 16 weeks, buffer 3 weeks (Acceptable). Commercial: gross margin 26.0% (Acceptable). Documentation: Model assumes the installation scope requires written confirmation; drawings and performance requirements are supplied. Result: Medium because clarification is required and no domain is Critical.</x:v>
      </x:c>
      <x:c r="L90" s="20" t="str">
        <x:f>IF(F90="Critical","Revise profile or connection. ",IF(F90="Clarification","Confirm connection and profile compatibility. ",""))&amp;IF(G90="Critical","Revise deadline or procurement/production plan. ",IF(G90="Clarification","Confirm capacity and protect the schedule buffer. ",""))&amp;IF(H90="Critical","Revise price or costs. ",IF(H90="Clarification","Confirm cost allowances and margin. ",""))&amp;IF(I90="Critical","Obtain drawings and performance requirements. ",IF(I90="Clarification","Confirm installation scope. ",""))&amp;IF(J90="Low","Proceed to routine tender checks.","")</x:f>
        <x:v>Confirm connection and profile compatibility. Confirm installation scope. </x:v>
      </x:c>
      <x:c r="M90" s="20" t="str">
        <x:f t="shared" si="5">IF(J90=B90,"Matches legacy label","Different from legacy label")</x:f>
        <x:v>Different from legacy label</x:v>
      </x:c>
      <x:c r="N90" s="19" t="n">
        <x:v>10</x:v>
      </x:c>
      <x:c r="O90" s="19" t="n">
        <x:v>240</x:v>
      </x:c>
      <x:c r="P90" s="19" t="n">
        <x:v>16</x:v>
      </x:c>
      <x:c r="Q90" s="23" t="n">
        <x:v>96200</x:v>
      </x:c>
      <x:c r="R90" s="19" t="n">
        <x:v>1</x:v>
      </x:c>
      <x:c r="S90" s="21" t="str">
        <x:f>IF(R90=2,"Model assumes the specified connection cannot fit the selected profile geometry; redesign or profile substitution is required.",IF(R90=1,"Model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90" s="19" t="n">
        <x:v>1</x:v>
      </x:c>
      <x:c r="U90" s="21" t="str">
        <x:f>IF(T90&gt;=2,"Model assumes both final drawings and performance requirements are absent, preventing confirmation of scope and price.",IF(T90=1,"Model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90" s="12" t="n">
        <x:f>N90+ROUNDUP('Original data'!F90/O90,0)</x:f>
        <x:v>13</x:v>
      </x:c>
      <x:c r="W90" s="12" t="n">
        <x:f>P90-V90</x:f>
        <x:v>3</x:v>
      </x:c>
      <x:c r="X90" s="22" t="n">
        <x:f>ROUND(('Original data'!E90-Q90)/'Original data'!E90,10)</x:f>
        <x:v>0.26</x:v>
      </x:c>
      <x:c r="Y90" s="12" t="str">
        <x:v>Synthetic domain-informed scenario; seed 20261002</x:v>
      </x:c>
      <x:c r="Z90" s="12" t="str">
        <x:v>Scenario 089</x:v>
      </x:c>
    </x:row>
    <x:row r="91" ht="140" customHeight="1">
      <x:c r="A91" s="13" t="s">
        <x:v>92</x:v>
      </x:c>
      <x:c r="B91" s="13" t="s">
        <x:v>7</x:v>
      </x:c>
      <x:c r="C91" s="13" t="s">
        <x:v>7</x:v>
      </x:c>
      <x:c r="D91" s="13" t="str">
        <x:v>Synthetic scenario 090. Elements: Windows + Doors. Systems: AWS 75.SI+ / AD UP 75. Complexity: Medium; profile: Standard; wind: Low; region: Industrial. Value GBP 60,000; fabrication 2518 h. Physical dimensions and structural capacity are not calculated.</x:v>
      </x:c>
      <x:c r="E91" s="13" t="str">
        <x:v>All added conditions are synthetic assumptions. Statuses follow the Protocol; no historical outcomes or independent expert validation.</x:v>
      </x:c>
      <x:c r="F91" s="20" t="str">
        <x:f>IF(R91=2,"Critical",IF(R91=1,"Clarification","Acceptable"))</x:f>
        <x:v>Acceptable</x:v>
      </x:c>
      <x:c r="G91" s="20" t="str">
        <x:f>IF(W91&lt;0,"Critical",IF(W91&lt;'Protocol'!$B$25,"Clarification","Acceptable"))</x:f>
        <x:v>Acceptable</x:v>
      </x:c>
      <x:c r="H91" s="20" t="str">
        <x:f>IF(X91&lt;'Protocol'!$B$23,"Critical",IF(X91&lt;'Protocol'!$B$24,"Clarification","Acceptable"))</x:f>
        <x:v>Acceptable</x:v>
      </x:c>
      <x:c r="I91" s="20" t="str">
        <x:f>IF(T91&gt;=2,"Critical",IF(T91=1,"Clarification","Acceptable"))</x:f>
        <x:v>Clarification</x:v>
      </x:c>
      <x:c r="J91" s="20" t="str">
        <x:f t="shared" si="4">IF(COUNTIF(F91:I91,"Critical")&gt;0,"High",IF(COUNTIF(F91:I91,"Clarification")&gt;0,"Medium","Low"))</x:f>
        <x:v>Medium</x:v>
      </x:c>
      <x:c r="K91" s="20" t="str">
        <x:f>"Technical: "&amp;S91&amp;" Schedule: readiness "&amp;V91&amp;" weeks, deadline "&amp;P91&amp;" weeks, buffer "&amp;W91&amp;" weeks ("&amp;G91&amp;"). Commercial: gross margin "&amp;TEXT(X91,"0.0%")&amp;" ("&amp;H91&amp;"). Documentation: "&amp;U91&amp;" Result: "&amp;J91&amp;IF(J91="High"," because at least one domain is Critical.",IF(J91="Medium"," because clarification is required and no domain is Critical."," because all four domains are Acceptable."))</x:f>
        <x:v>Technical: Model assumes the selected configuration fulfils the stated requirements; no unresolved technical issue. Schedule: readiness 18 weeks, deadline 23 weeks, buffer 5 weeks (Acceptable). Commercial: gross margin 26.0% (Acceptable). Documentation: Model assumes the installation scope requires written confirmation; drawings and performance requirements are supplied. Result: Medium because clarification is required and no domain is Critical.</x:v>
      </x:c>
      <x:c r="L91" s="20" t="str">
        <x:f>IF(F91="Critical","Revise profile or connection. ",IF(F91="Clarification","Confirm connection and profile compatibility. ",""))&amp;IF(G91="Critical","Revise deadline or procurement/production plan. ",IF(G91="Clarification","Confirm capacity and protect the schedule buffer. ",""))&amp;IF(H91="Critical","Revise price or costs. ",IF(H91="Clarification","Confirm cost allowances and margin. ",""))&amp;IF(I91="Critical","Obtain drawings and performance requirements. ",IF(I91="Clarification","Confirm installation scope. ",""))&amp;IF(J91="Low","Proceed to routine tender checks.","")</x:f>
        <x:v>Confirm installation scope. </x:v>
      </x:c>
      <x:c r="M91" s="20" t="str">
        <x:f t="shared" si="5">IF(J91=B91,"Matches legacy label","Different from legacy label")</x:f>
        <x:v>Different from legacy label</x:v>
      </x:c>
      <x:c r="N91" s="19" t="n">
        <x:v>10</x:v>
      </x:c>
      <x:c r="O91" s="19" t="n">
        <x:v>320</x:v>
      </x:c>
      <x:c r="P91" s="19" t="n">
        <x:v>23</x:v>
      </x:c>
      <x:c r="Q91" s="23" t="n">
        <x:v>44400</x:v>
      </x:c>
      <x:c r="R91" s="19" t="n">
        <x:v>0</x:v>
      </x:c>
      <x:c r="S91" s="21" t="str">
        <x:f>IF(R91=2,"Model assumes the specified connection cannot fit the selected profile geometry; redesign or profile substitution is required.",IF(R91=1,"Model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91" s="19" t="n">
        <x:v>1</x:v>
      </x:c>
      <x:c r="U91" s="21" t="str">
        <x:f>IF(T91&gt;=2,"Model assumes both final drawings and performance requirements are absent, preventing confirmation of scope and price.",IF(T91=1,"Model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91" s="12" t="n">
        <x:f>N91+ROUNDUP('Original data'!F91/O91,0)</x:f>
        <x:v>18</x:v>
      </x:c>
      <x:c r="W91" s="12" t="n">
        <x:f>P91-V91</x:f>
        <x:v>5</x:v>
      </x:c>
      <x:c r="X91" s="22" t="n">
        <x:f>ROUND(('Original data'!E91-Q91)/'Original data'!E91,10)</x:f>
        <x:v>0.26</x:v>
      </x:c>
      <x:c r="Y91" s="12" t="str">
        <x:v>Synthetic domain-informed scenario; seed 20261002</x:v>
      </x:c>
      <x:c r="Z91" s="12" t="str">
        <x:v>Scenario 090</x:v>
      </x:c>
    </x:row>
    <x:row r="92" ht="140" customHeight="1">
      <x:c r="A92" s="13" t="s">
        <x:v>93</x:v>
      </x:c>
      <x:c r="B92" s="13" t="s">
        <x:v>3</x:v>
      </x:c>
      <x:c r="C92" s="13" t="s">
        <x:v>3</x:v>
      </x:c>
      <x:c r="D92" s="13" t="str">
        <x:v>Synthetic scenario 091. Elements: Windows + Doors (High Insulation). Systems: AWS 75.SI+ / ASE 80.HI. Complexity: High; profile: Non-standard; wind: High; region: Inland. Value GBP 254,000; fabrication 1787 h. Physical dimensions and structural capacity are not calculated.</x:v>
      </x:c>
      <x:c r="E92" s="13" t="str">
        <x:v>All added conditions are synthetic assumptions. Statuses follow the Protocol; no historical outcomes or independent expert validation.</x:v>
      </x:c>
      <x:c r="F92" s="20" t="str">
        <x:f>IF(R92=2,"Critical",IF(R92=1,"Clarification","Acceptable"))</x:f>
        <x:v>Acceptable</x:v>
      </x:c>
      <x:c r="G92" s="20" t="str">
        <x:f>IF(W92&lt;0,"Critical",IF(W92&lt;'Protocol'!$B$25,"Clarification","Acceptable"))</x:f>
        <x:v>Clarification</x:v>
      </x:c>
      <x:c r="H92" s="20" t="str">
        <x:f>IF(X92&lt;'Protocol'!$B$23,"Critical",IF(X92&lt;'Protocol'!$B$24,"Clarification","Acceptable"))</x:f>
        <x:v>Acceptable</x:v>
      </x:c>
      <x:c r="I92" s="20" t="str">
        <x:f>IF(T92&gt;=2,"Critical",IF(T92=1,"Clarification","Acceptable"))</x:f>
        <x:v>Acceptable</x:v>
      </x:c>
      <x:c r="J92" s="20" t="str">
        <x:f t="shared" si="4">IF(COUNTIF(F92:I92,"Critical")&gt;0,"High",IF(COUNTIF(F92:I92,"Clarification")&gt;0,"Medium","Low"))</x:f>
        <x:v>Medium</x:v>
      </x:c>
      <x:c r="K92" s="20" t="str">
        <x:f>"Technical: "&amp;S92&amp;" Schedule: readiness "&amp;V92&amp;" weeks, deadline "&amp;P92&amp;" weeks, buffer "&amp;W92&amp;" weeks ("&amp;G92&amp;"). Commercial: gross margin "&amp;TEXT(X92,"0.0%")&amp;" ("&amp;H92&amp;"). Documentation: "&amp;U92&amp;" Result: "&amp;J92&amp;IF(J92="High"," because at least one domain is Critical.",IF(J92="Medium"," because clarification is required and no domain is Critical."," because all four domains are Acceptable."))</x:f>
        <x:v>Technical: Model assumes the selected configuration fulfils the stated requirements; no unresolved technical issue. Schedule: readiness 24 weeks, deadline 25 weeks, buffer 1 weeks (Clarification). Commercial: gross margin 18.0% (Acceptable). Documentation: Model assumes drawings, installation scope and performance requirements are supplied. Result: Medium because clarification is required and no domain is Critical.</x:v>
      </x:c>
      <x:c r="L92" s="20" t="str">
        <x:f>IF(F92="Critical","Revise profile or connection. ",IF(F92="Clarification","Confirm connection and profile compatibility. ",""))&amp;IF(G92="Critical","Revise deadline or procurement/production plan. ",IF(G92="Clarification","Confirm capacity and protect the schedule buffer. ",""))&amp;IF(H92="Critical","Revise price or costs. ",IF(H92="Clarification","Confirm cost allowances and margin. ",""))&amp;IF(I92="Critical","Obtain drawings and performance requirements. ",IF(I92="Clarification","Confirm installation scope. ",""))&amp;IF(J92="Low","Proceed to routine tender checks.","")</x:f>
        <x:v>Confirm capacity and protect the schedule buffer. </x:v>
      </x:c>
      <x:c r="M92" s="20" t="str">
        <x:f t="shared" si="5">IF(J92=B92,"Matches legacy label","Different from legacy label")</x:f>
        <x:v>Different from legacy label</x:v>
      </x:c>
      <x:c r="N92" s="19" t="n">
        <x:v>12</x:v>
      </x:c>
      <x:c r="O92" s="19" t="n">
        <x:v>160</x:v>
      </x:c>
      <x:c r="P92" s="19" t="n">
        <x:v>25</x:v>
      </x:c>
      <x:c r="Q92" s="23" t="n">
        <x:v>208280</x:v>
      </x:c>
      <x:c r="R92" s="19" t="n">
        <x:v>0</x:v>
      </x:c>
      <x:c r="S92" s="21" t="str">
        <x:f>IF(R92=2,"Model assumes the specified connection cannot fit the selected profile geometry; redesign or profile substitution is required.",IF(R92=1,"Model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92" s="19" t="n">
        <x:v>0</x:v>
      </x:c>
      <x:c r="U92" s="21" t="str">
        <x:f>IF(T92&gt;=2,"Model assumes both final drawings and performance requirements are absent, preventing confirmation of scope and price.",IF(T92=1,"Model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92" s="12" t="n">
        <x:f>N92+ROUNDUP('Original data'!F92/O92,0)</x:f>
        <x:v>24</x:v>
      </x:c>
      <x:c r="W92" s="12" t="n">
        <x:f>P92-V92</x:f>
        <x:v>1</x:v>
      </x:c>
      <x:c r="X92" s="22" t="n">
        <x:f>ROUND(('Original data'!E92-Q92)/'Original data'!E92,10)</x:f>
        <x:v>0.18</x:v>
      </x:c>
      <x:c r="Y92" s="12" t="str">
        <x:v>Synthetic domain-informed scenario; seed 20261002</x:v>
      </x:c>
      <x:c r="Z92" s="12" t="str">
        <x:v>Scenario 091</x:v>
      </x:c>
    </x:row>
    <x:row r="93" ht="140" customHeight="1">
      <x:c r="A93" s="13" t="s">
        <x:v>94</x:v>
      </x:c>
      <x:c r="B93" s="13" t="s">
        <x:v>1</x:v>
      </x:c>
      <x:c r="C93" s="13" t="s">
        <x:v>1</x:v>
      </x:c>
      <x:c r="D93" s="13" t="str">
        <x:v>Synthetic scenario 092. Elements: Windows + Doors. Systems: AWS 75.SI+ / AD UP 75. Complexity: Medium; profile: Standard; wind: High; region: Coastal. Value GBP 100,000; fabrication 1843 h. Physical dimensions and structural capacity are not calculated.</x:v>
      </x:c>
      <x:c r="E93" s="13" t="str">
        <x:v>All added conditions are synthetic assumptions. Statuses follow the Protocol; no historical outcomes or independent expert validation.</x:v>
      </x:c>
      <x:c r="F93" s="20" t="str">
        <x:f>IF(R93=2,"Critical",IF(R93=1,"Clarification","Acceptable"))</x:f>
        <x:v>Acceptable</x:v>
      </x:c>
      <x:c r="G93" s="20" t="str">
        <x:f>IF(W93&lt;0,"Critical",IF(W93&lt;'Protocol'!$B$25,"Clarification","Acceptable"))</x:f>
        <x:v>Critical</x:v>
      </x:c>
      <x:c r="H93" s="20" t="str">
        <x:f>IF(X93&lt;'Protocol'!$B$23,"Critical",IF(X93&lt;'Protocol'!$B$24,"Clarification","Acceptable"))</x:f>
        <x:v>Acceptable</x:v>
      </x:c>
      <x:c r="I93" s="20" t="str">
        <x:f>IF(T93&gt;=2,"Critical",IF(T93=1,"Clarification","Acceptable"))</x:f>
        <x:v>Acceptable</x:v>
      </x:c>
      <x:c r="J93" s="20" t="str">
        <x:f t="shared" si="4">IF(COUNTIF(F93:I93,"Critical")&gt;0,"High",IF(COUNTIF(F93:I93,"Clarification")&gt;0,"Medium","Low"))</x:f>
        <x:v>High</x:v>
      </x:c>
      <x:c r="K93" s="20" t="str">
        <x:f>"Technical: "&amp;S93&amp;" Schedule: readiness "&amp;V93&amp;" weeks, deadline "&amp;P93&amp;" weeks, buffer "&amp;W93&amp;" weeks ("&amp;G93&amp;"). Commercial: gross margin "&amp;TEXT(X93,"0.0%")&amp;" ("&amp;H93&amp;"). Documentation: "&amp;U93&amp;" Result: "&amp;J93&amp;IF(J93="High"," because at least one domain is Critical.",IF(J93="Medium"," because clarification is required and no domain is Critical."," because all four domains are Acceptable."))</x:f>
        <x:v>Technical: Model assumes the selected configuration fulfils the stated requirements; no unresolved technical issue. Schedule: readiness 22 weeks, deadline 19 weeks, buffer -3 weeks (Critical). Commercial: gross margin 26.0% (Acceptable). Documentation: Model assumes drawings, installation scope and performance requirements are supplied. Result: High because at least one domain is Critical.</x:v>
      </x:c>
      <x:c r="L93" s="20" t="str">
        <x:f>IF(F93="Critical","Revise profile or connection. ",IF(F93="Clarification","Confirm connection and profile compatibility. ",""))&amp;IF(G93="Critical","Revise deadline or procurement/production plan. ",IF(G93="Clarification","Confirm capacity and protect the schedule buffer. ",""))&amp;IF(H93="Critical","Revise price or costs. ",IF(H93="Clarification","Confirm cost allowances and margin. ",""))&amp;IF(I93="Critical","Obtain drawings and performance requirements. ",IF(I93="Clarification","Confirm installation scope. ",""))&amp;IF(J93="Low","Proceed to routine tender checks.","")</x:f>
        <x:v>Revise deadline or procurement/production plan. </x:v>
      </x:c>
      <x:c r="M93" s="20" t="str">
        <x:f t="shared" si="5">IF(J93=B93,"Matches legacy label","Different from legacy label")</x:f>
        <x:v>Different from legacy label</x:v>
      </x:c>
      <x:c r="N93" s="19" t="n">
        <x:v>10</x:v>
      </x:c>
      <x:c r="O93" s="19" t="n">
        <x:v>160</x:v>
      </x:c>
      <x:c r="P93" s="19" t="n">
        <x:v>19</x:v>
      </x:c>
      <x:c r="Q93" s="23" t="n">
        <x:v>74000</x:v>
      </x:c>
      <x:c r="R93" s="19" t="n">
        <x:v>0</x:v>
      </x:c>
      <x:c r="S93" s="21" t="str">
        <x:f>IF(R93=2,"Model assumes the specified connection cannot fit the selected profile geometry; redesign or profile substitution is required.",IF(R93=1,"Model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93" s="19" t="n">
        <x:v>0</x:v>
      </x:c>
      <x:c r="U93" s="21" t="str">
        <x:f>IF(T93&gt;=2,"Model assumes both final drawings and performance requirements are absent, preventing confirmation of scope and price.",IF(T93=1,"Model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93" s="12" t="n">
        <x:f>N93+ROUNDUP('Original data'!F93/O93,0)</x:f>
        <x:v>22</x:v>
      </x:c>
      <x:c r="W93" s="12" t="n">
        <x:f>P93-V93</x:f>
        <x:v>-3</x:v>
      </x:c>
      <x:c r="X93" s="22" t="n">
        <x:f>ROUND(('Original data'!E93-Q93)/'Original data'!E93,10)</x:f>
        <x:v>0.26</x:v>
      </x:c>
      <x:c r="Y93" s="12" t="str">
        <x:v>Synthetic domain-informed scenario; seed 20261002</x:v>
      </x:c>
      <x:c r="Z93" s="12" t="str">
        <x:v>Scenario 092</x:v>
      </x:c>
    </x:row>
    <x:row r="94" ht="140" customHeight="1">
      <x:c r="A94" s="13" t="s">
        <x:v>95</x:v>
      </x:c>
      <x:c r="B94" s="13" t="s">
        <x:v>1</x:v>
      </x:c>
      <x:c r="C94" s="13" t="s">
        <x:v>1</x:v>
      </x:c>
      <x:c r="D94" s="13" t="str">
        <x:v>Synthetic scenario 093. Elements: Windows + Doors. Systems: AWS 75.SI+ / AD UP 75. Complexity: High; profile: Standard; wind: Low; region: Mountain. Value GBP 51,000; fabrication 378 h. Physical dimensions and structural capacity are not calculated.</x:v>
      </x:c>
      <x:c r="E94" s="13" t="str">
        <x:v>All added conditions are synthetic assumptions. Statuses follow the Protocol; no historical outcomes or independent expert validation.</x:v>
      </x:c>
      <x:c r="F94" s="20" t="str">
        <x:f>IF(R94=2,"Critical",IF(R94=1,"Clarification","Acceptable"))</x:f>
        <x:v>Acceptable</x:v>
      </x:c>
      <x:c r="G94" s="20" t="str">
        <x:f>IF(W94&lt;0,"Critical",IF(W94&lt;'Protocol'!$B$25,"Clarification","Acceptable"))</x:f>
        <x:v>Acceptable</x:v>
      </x:c>
      <x:c r="H94" s="20" t="str">
        <x:f>IF(X94&lt;'Protocol'!$B$23,"Critical",IF(X94&lt;'Protocol'!$B$24,"Clarification","Acceptable"))</x:f>
        <x:v>Acceptable</x:v>
      </x:c>
      <x:c r="I94" s="20" t="str">
        <x:f>IF(T94&gt;=2,"Critical",IF(T94=1,"Clarification","Acceptable"))</x:f>
        <x:v>Critical</x:v>
      </x:c>
      <x:c r="J94" s="20" t="str">
        <x:f t="shared" si="4">IF(COUNTIF(F94:I94,"Critical")&gt;0,"High",IF(COUNTIF(F94:I94,"Clarification")&gt;0,"Medium","Low"))</x:f>
        <x:v>High</x:v>
      </x:c>
      <x:c r="K94" s="20" t="str">
        <x:f>"Technical: "&amp;S94&amp;" Schedule: readiness "&amp;V94&amp;" weeks, deadline "&amp;P94&amp;" weeks, buffer "&amp;W94&amp;" weeks ("&amp;G94&amp;"). Commercial: gross margin "&amp;TEXT(X94,"0.0%")&amp;" ("&amp;H94&amp;"). Documentation: "&amp;U94&amp;" Result: "&amp;J94&amp;IF(J94="High"," because at least one domain is Critical.",IF(J94="Medium"," because clarification is required and no domain is Critical."," because all four domains are Acceptable."))</x:f>
        <x:v>Technical: Model assumes the selected configuration fulfils the stated requirements; no unresolved technical issue. Schedule: readiness 13 weeks, deadline 20 weeks, buffer 7 weeks (Acceptable). Commercial: gross margin 26.0% (Acceptable). Documentation: Model assumes both final drawings and performance requirements are absent, preventing confirmation of scope and price. Result: High because at least one domain is Critical.</x:v>
      </x:c>
      <x:c r="L94" s="20" t="str">
        <x:f>IF(F94="Critical","Revise profile or connection. ",IF(F94="Clarification","Confirm connection and profile compatibility. ",""))&amp;IF(G94="Critical","Revise deadline or procurement/production plan. ",IF(G94="Clarification","Confirm capacity and protect the schedule buffer. ",""))&amp;IF(H94="Critical","Revise price or costs. ",IF(H94="Clarification","Confirm cost allowances and margin. ",""))&amp;IF(I94="Critical","Obtain drawings and performance requirements. ",IF(I94="Clarification","Confirm installation scope. ",""))&amp;IF(J94="Low","Proceed to routine tender checks.","")</x:f>
        <x:v>Obtain drawings and performance requirements. </x:v>
      </x:c>
      <x:c r="M94" s="20" t="str">
        <x:f t="shared" si="5">IF(J94=B94,"Matches legacy label","Different from legacy label")</x:f>
        <x:v>Different from legacy label</x:v>
      </x:c>
      <x:c r="N94" s="19" t="n">
        <x:v>10</x:v>
      </x:c>
      <x:c r="O94" s="19" t="n">
        <x:v>160</x:v>
      </x:c>
      <x:c r="P94" s="19" t="n">
        <x:v>20</x:v>
      </x:c>
      <x:c r="Q94" s="23" t="n">
        <x:v>37740</x:v>
      </x:c>
      <x:c r="R94" s="19" t="n">
        <x:v>0</x:v>
      </x:c>
      <x:c r="S94" s="21" t="str">
        <x:f>IF(R94=2,"Model assumes the specified connection cannot fit the selected profile geometry; redesign or profile substitution is required.",IF(R94=1,"Model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94" s="19" t="n">
        <x:v>2</x:v>
      </x:c>
      <x:c r="U94" s="21" t="str">
        <x:f>IF(T94&gt;=2,"Model assumes both final drawings and performance requirements are absent, preventing confirmation of scope and price.",IF(T94=1,"Model assumes the installation scope requires written confirmation; drawings and performance requirements are supplied.","Model assumes drawings, installation scope and performance requirements are supplied."))</x:f>
        <x:v>Model assumes both final drawings and performance requirements are absent, preventing confirmation of scope and price.</x:v>
      </x:c>
      <x:c r="V94" s="12" t="n">
        <x:f>N94+ROUNDUP('Original data'!F94/O94,0)</x:f>
        <x:v>13</x:v>
      </x:c>
      <x:c r="W94" s="12" t="n">
        <x:f>P94-V94</x:f>
        <x:v>7</x:v>
      </x:c>
      <x:c r="X94" s="22" t="n">
        <x:f>ROUND(('Original data'!E94-Q94)/'Original data'!E94,10)</x:f>
        <x:v>0.26</x:v>
      </x:c>
      <x:c r="Y94" s="12" t="str">
        <x:v>Synthetic domain-informed scenario; seed 20261002</x:v>
      </x:c>
      <x:c r="Z94" s="12" t="str">
        <x:v>Scenario 093</x:v>
      </x:c>
    </x:row>
    <x:row r="95" ht="140" customHeight="1">
      <x:c r="A95" s="13" t="s">
        <x:v>96</x:v>
      </x:c>
      <x:c r="B95" s="13" t="s">
        <x:v>3</x:v>
      </x:c>
      <x:c r="C95" s="13" t="s">
        <x:v>3</x:v>
      </x:c>
      <x:c r="D95" s="13" t="str">
        <x:v>Synthetic scenario 094. Elements: Windows + Doors (High Insulation). Systems: AWS 75.SI+ / ASE 80.HI. Complexity: High; profile: Non-standard; wind: High; region: Inland. Value GBP 52,000; fabrication 768 h. Physical dimensions and structural capacity are not calculated.</x:v>
      </x:c>
      <x:c r="E95" s="13" t="str">
        <x:v>All added conditions are synthetic assumptions. Statuses follow the Protocol; no historical outcomes or independent expert validation.</x:v>
      </x:c>
      <x:c r="F95" s="20" t="str">
        <x:f>IF(R95=2,"Critical",IF(R95=1,"Clarification","Acceptable"))</x:f>
        <x:v>Critical</x:v>
      </x:c>
      <x:c r="G95" s="20" t="str">
        <x:f>IF(W95&lt;0,"Critical",IF(W95&lt;'Protocol'!$B$25,"Clarification","Acceptable"))</x:f>
        <x:v>Acceptable</x:v>
      </x:c>
      <x:c r="H95" s="20" t="str">
        <x:f>IF(X95&lt;'Protocol'!$B$23,"Critical",IF(X95&lt;'Protocol'!$B$24,"Clarification","Acceptable"))</x:f>
        <x:v>Acceptable</x:v>
      </x:c>
      <x:c r="I95" s="20" t="str">
        <x:f>IF(T95&gt;=2,"Critical",IF(T95=1,"Clarification","Acceptable"))</x:f>
        <x:v>Acceptable</x:v>
      </x:c>
      <x:c r="J95" s="20" t="str">
        <x:f t="shared" si="4">IF(COUNTIF(F95:I95,"Critical")&gt;0,"High",IF(COUNTIF(F95:I95,"Clarification")&gt;0,"Medium","Low"))</x:f>
        <x:v>High</x:v>
      </x:c>
      <x:c r="K95" s="20" t="str">
        <x:f>"Technical: "&amp;S95&amp;" Schedule: readiness "&amp;V95&amp;" weeks, deadline "&amp;P95&amp;" weeks, buffer "&amp;W95&amp;" weeks ("&amp;G95&amp;"). Commercial: gross margin "&amp;TEXT(X95,"0.0%")&amp;" ("&amp;H95&amp;"). Documentation: "&amp;U95&amp;" Result: "&amp;J95&amp;IF(J95="High"," because at least one domain is Critical.",IF(J95="Medium"," because clarification is required and no domain is Critical."," because all four domains are Acceptable."))</x:f>
        <x:v>Technical: Model assumes the specified connection cannot fit the selected profile geometry; redesign or profile substitution is required. Schedule: readiness 16 weeks, deadline 19 weeks, buffer 3 weeks (Acceptable). Commercial: gross margin 22.0% (Acceptable). Documentation: Model assumes drawings, installation scope and performance requirements are supplied. Result: High because at least one domain is Critical.</x:v>
      </x:c>
      <x:c r="L95" s="20" t="str">
        <x:f>IF(F95="Critical","Revise profile or connection. ",IF(F95="Clarification","Confirm connection and profile compatibility. ",""))&amp;IF(G95="Critical","Revise deadline or procurement/production plan. ",IF(G95="Clarification","Confirm capacity and protect the schedule buffer. ",""))&amp;IF(H95="Critical","Revise price or costs. ",IF(H95="Clarification","Confirm cost allowances and margin. ",""))&amp;IF(I95="Critical","Obtain drawings and performance requirements. ",IF(I95="Clarification","Confirm installation scope. ",""))&amp;IF(J95="Low","Proceed to routine tender checks.","")</x:f>
        <x:v>Revise profile or connection. </x:v>
      </x:c>
      <x:c r="M95" s="20" t="str">
        <x:f t="shared" si="5">IF(J95=B95,"Matches legacy label","Different from legacy label")</x:f>
        <x:v>Matches legacy label</x:v>
      </x:c>
      <x:c r="N95" s="19" t="n">
        <x:v>12</x:v>
      </x:c>
      <x:c r="O95" s="19" t="n">
        <x:v>240</x:v>
      </x:c>
      <x:c r="P95" s="19" t="n">
        <x:v>19</x:v>
      </x:c>
      <x:c r="Q95" s="23" t="n">
        <x:v>40560</x:v>
      </x:c>
      <x:c r="R95" s="19" t="n">
        <x:v>2</x:v>
      </x:c>
      <x:c r="S95" s="21" t="str">
        <x:f>IF(R95=2,"Model assumes the specified connection cannot fit the selected profile geometry; redesign or profile substitution is required.",IF(R95=1,"Model assumes connection and profile compatibility remain to be confirmed; no incompatibility has been established.","Model assumes the selected configuration fulfils the stated requirements; no unresolved technical issue."))</x:f>
        <x:v>Model assumes the specified connection cannot fit the selected profile geometry; redesign or profile substitution is required.</x:v>
      </x:c>
      <x:c r="T95" s="19" t="n">
        <x:v>0</x:v>
      </x:c>
      <x:c r="U95" s="21" t="str">
        <x:f>IF(T95&gt;=2,"Model assumes both final drawings and performance requirements are absent, preventing confirmation of scope and price.",IF(T95=1,"Model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95" s="12" t="n">
        <x:f>N95+ROUNDUP('Original data'!F95/O95,0)</x:f>
        <x:v>16</x:v>
      </x:c>
      <x:c r="W95" s="12" t="n">
        <x:f>P95-V95</x:f>
        <x:v>3</x:v>
      </x:c>
      <x:c r="X95" s="22" t="n">
        <x:f>ROUND(('Original data'!E95-Q95)/'Original data'!E95,10)</x:f>
        <x:v>0.22</x:v>
      </x:c>
      <x:c r="Y95" s="12" t="str">
        <x:v>Synthetic domain-informed scenario; seed 20261002</x:v>
      </x:c>
      <x:c r="Z95" s="12" t="str">
        <x:v>Scenario 094</x:v>
      </x:c>
    </x:row>
    <x:row r="96" ht="140" customHeight="1">
      <x:c r="A96" s="13" t="s">
        <x:v>97</x:v>
      </x:c>
      <x:c r="B96" s="13" t="s">
        <x:v>3</x:v>
      </x:c>
      <x:c r="C96" s="13" t="s">
        <x:v>1</x:v>
      </x:c>
      <x:c r="D96" s="13" t="str">
        <x:v>Synthetic scenario 095. Elements: Windows + Doors + Curtain Wall. Systems: AWS 75.SI+ / FWS 50 / AD UP 75. Complexity: Medium; profile: Non-standard; wind: Low; region: Urban. Value GBP 2,784,000; fabrication 5332 h. Physical dimensions and structural capacity are not calculated.</x:v>
      </x:c>
      <x:c r="E96" s="13" t="str">
        <x:v>All added conditions are synthetic assumptions. Statuses follow the Protocol; no historical outcomes or independent expert validation.</x:v>
      </x:c>
      <x:c r="F96" s="20" t="str">
        <x:f>IF(R96=2,"Critical",IF(R96=1,"Clarification","Acceptable"))</x:f>
        <x:v>Clarification</x:v>
      </x:c>
      <x:c r="G96" s="20" t="str">
        <x:f>IF(W96&lt;0,"Critical",IF(W96&lt;'Protocol'!$B$25,"Clarification","Acceptable"))</x:f>
        <x:v>Acceptable</x:v>
      </x:c>
      <x:c r="H96" s="20" t="str">
        <x:f>IF(X96&lt;'Protocol'!$B$23,"Critical",IF(X96&lt;'Protocol'!$B$24,"Clarification","Acceptable"))</x:f>
        <x:v>Clarification</x:v>
      </x:c>
      <x:c r="I96" s="20" t="str">
        <x:f>IF(T96&gt;=2,"Critical",IF(T96=1,"Clarification","Acceptable"))</x:f>
        <x:v>Acceptable</x:v>
      </x:c>
      <x:c r="J96" s="20" t="str">
        <x:f t="shared" si="4">IF(COUNTIF(F96:I96,"Critical")&gt;0,"High",IF(COUNTIF(F96:I96,"Clarification")&gt;0,"Medium","Low"))</x:f>
        <x:v>Medium</x:v>
      </x:c>
      <x:c r="K96" s="20" t="str">
        <x:f>"Technical: "&amp;S96&amp;" Schedule: readiness "&amp;V96&amp;" weeks, deadline "&amp;P96&amp;" weeks, buffer "&amp;W96&amp;" weeks ("&amp;G96&amp;"). Commercial: gross margin "&amp;TEXT(X96,"0.0%")&amp;" ("&amp;H96&amp;"). Documentation: "&amp;U96&amp;" Result: "&amp;J96&amp;IF(J96="High"," because at least one domain is Critical.",IF(J96="Medium","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29 weeks, deadline 32 weeks, buffer 3 weeks (Acceptable). Commercial: gross margin 12.0% (Clarification). Documentation: Model assumes drawings, installation scope and performance requirements are supplied. Result: Medium because clarification is required and no domain is Critical.</x:v>
      </x:c>
      <x:c r="L96" s="20" t="str">
        <x:f>IF(F96="Critical","Revise profile or connection. ",IF(F96="Clarification","Confirm connection and profile compatibility. ",""))&amp;IF(G96="Critical","Revise deadline or procurement/production plan. ",IF(G96="Clarification","Confirm capacity and protect the schedule buffer. ",""))&amp;IF(H96="Critical","Revise price or costs. ",IF(H96="Clarification","Confirm cost allowances and margin. ",""))&amp;IF(I96="Critical","Obtain drawings and performance requirements. ",IF(I96="Clarification","Confirm installation scope. ",""))&amp;IF(J96="Low","Proceed to routine tender checks.","")</x:f>
        <x:v>Confirm connection and profile compatibility. Confirm cost allowances and margin. </x:v>
      </x:c>
      <x:c r="M96" s="20" t="str">
        <x:f t="shared" si="5">IF(J96=B96,"Matches legacy label","Different from legacy label")</x:f>
        <x:v>Different from legacy label</x:v>
      </x:c>
      <x:c r="N96" s="19" t="n">
        <x:v>12</x:v>
      </x:c>
      <x:c r="O96" s="19" t="n">
        <x:v>320</x:v>
      </x:c>
      <x:c r="P96" s="19" t="n">
        <x:v>32</x:v>
      </x:c>
      <x:c r="Q96" s="23" t="n">
        <x:v>2449920</x:v>
      </x:c>
      <x:c r="R96" s="19" t="n">
        <x:v>1</x:v>
      </x:c>
      <x:c r="S96" s="21" t="str">
        <x:f>IF(R96=2,"Model assumes the specified connection cannot fit the selected profile geometry; redesign or profile substitution is required.",IF(R96=1,"Model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96" s="19" t="n">
        <x:v>0</x:v>
      </x:c>
      <x:c r="U96" s="21" t="str">
        <x:f>IF(T96&gt;=2,"Model assumes both final drawings and performance requirements are absent, preventing confirmation of scope and price.",IF(T96=1,"Model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96" s="12" t="n">
        <x:f>N96+ROUNDUP('Original data'!F96/O96,0)</x:f>
        <x:v>29</x:v>
      </x:c>
      <x:c r="W96" s="12" t="n">
        <x:f>P96-V96</x:f>
        <x:v>3</x:v>
      </x:c>
      <x:c r="X96" s="22" t="n">
        <x:f>ROUND(('Original data'!E96-Q96)/'Original data'!E96,10)</x:f>
        <x:v>0.12</x:v>
      </x:c>
      <x:c r="Y96" s="12" t="str">
        <x:v>Synthetic domain-informed scenario; seed 20261002</x:v>
      </x:c>
      <x:c r="Z96" s="12" t="str">
        <x:v>Scenario 095</x:v>
      </x:c>
    </x:row>
    <x:row r="97" ht="140" customHeight="1">
      <x:c r="A97" s="13" t="s">
        <x:v>98</x:v>
      </x:c>
      <x:c r="B97" s="13" t="s">
        <x:v>1</x:v>
      </x:c>
      <x:c r="C97" s="13" t="s">
        <x:v>1</x:v>
      </x:c>
      <x:c r="D97" s="13" t="str">
        <x:v>Synthetic scenario 096. Elements: Curtain Wall only. Systems: FWS 50. Complexity: Medium; profile: Non-standard; wind: Low; region: Mountain. Value GBP 84,000; fabrication 685 h. Physical dimensions and structural capacity are not calculated.</x:v>
      </x:c>
      <x:c r="E97" s="13" t="str">
        <x:v>All added conditions are synthetic assumptions. Statuses follow the Protocol; no historical outcomes or independent expert validation.</x:v>
      </x:c>
      <x:c r="F97" s="20" t="str">
        <x:f>IF(R97=2,"Critical",IF(R97=1,"Clarification","Acceptable"))</x:f>
        <x:v>Acceptable</x:v>
      </x:c>
      <x:c r="G97" s="20" t="str">
        <x:f>IF(W97&lt;0,"Critical",IF(W97&lt;'Protocol'!$B$25,"Clarification","Acceptable"))</x:f>
        <x:v>Acceptable</x:v>
      </x:c>
      <x:c r="H97" s="20" t="str">
        <x:f>IF(X97&lt;'Protocol'!$B$23,"Critical",IF(X97&lt;'Protocol'!$B$24,"Clarification","Acceptable"))</x:f>
        <x:v>Clarification</x:v>
      </x:c>
      <x:c r="I97" s="20" t="str">
        <x:f>IF(T97&gt;=2,"Critical",IF(T97=1,"Clarification","Acceptable"))</x:f>
        <x:v>Acceptable</x:v>
      </x:c>
      <x:c r="J97" s="20" t="str">
        <x:f t="shared" si="4">IF(COUNTIF(F97:I97,"Critical")&gt;0,"High",IF(COUNTIF(F97:I97,"Clarification")&gt;0,"Medium","Low"))</x:f>
        <x:v>Medium</x:v>
      </x:c>
      <x:c r="K97" s="20" t="str">
        <x:f>"Technical: "&amp;S97&amp;" Schedule: readiness "&amp;V97&amp;" weeks, deadline "&amp;P97&amp;" weeks, buffer "&amp;W97&amp;" weeks ("&amp;G97&amp;"). Commercial: gross margin "&amp;TEXT(X97,"0.0%")&amp;" ("&amp;H97&amp;"). Documentation: "&amp;U97&amp;" Result: "&amp;J97&amp;IF(J97="High"," because at least one domain is Critical.",IF(J97="Medium"," because clarification is required and no domain is Critical."," because all four domains are Acceptable."))</x:f>
        <x:v>Technical: Model assumes the selected configuration fulfils the stated requirements; no unresolved technical issue. Schedule: readiness 15 weeks, deadline 20 weeks, buffer 5 weeks (Acceptable). Commercial: gross margin 12.0% (Clarification). Documentation: Model assumes drawings, installation scope and performance requirements are supplied. Result: Medium because clarification is required and no domain is Critical.</x:v>
      </x:c>
      <x:c r="L97" s="20" t="str">
        <x:f>IF(F97="Critical","Revise profile or connection. ",IF(F97="Clarification","Confirm connection and profile compatibility. ",""))&amp;IF(G97="Critical","Revise deadline or procurement/production plan. ",IF(G97="Clarification","Confirm capacity and protect the schedule buffer. ",""))&amp;IF(H97="Critical","Revise price or costs. ",IF(H97="Clarification","Confirm cost allowances and margin. ",""))&amp;IF(I97="Critical","Obtain drawings and performance requirements. ",IF(I97="Clarification","Confirm installation scope. ",""))&amp;IF(J97="Low","Proceed to routine tender checks.","")</x:f>
        <x:v>Confirm cost allowances and margin. </x:v>
      </x:c>
      <x:c r="M97" s="20" t="str">
        <x:f t="shared" si="5">IF(J97=B97,"Matches legacy label","Different from legacy label")</x:f>
        <x:v>Matches legacy label</x:v>
      </x:c>
      <x:c r="N97" s="19" t="n">
        <x:v>12</x:v>
      </x:c>
      <x:c r="O97" s="19" t="n">
        <x:v>320</x:v>
      </x:c>
      <x:c r="P97" s="19" t="n">
        <x:v>20</x:v>
      </x:c>
      <x:c r="Q97" s="23" t="n">
        <x:v>73920</x:v>
      </x:c>
      <x:c r="R97" s="19" t="n">
        <x:v>0</x:v>
      </x:c>
      <x:c r="S97" s="21" t="str">
        <x:f>IF(R97=2,"Model assumes the specified connection cannot fit the selected profile geometry; redesign or profile substitution is required.",IF(R97=1,"Model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97" s="19" t="n">
        <x:v>0</x:v>
      </x:c>
      <x:c r="U97" s="21" t="str">
        <x:f>IF(T97&gt;=2,"Model assumes both final drawings and performance requirements are absent, preventing confirmation of scope and price.",IF(T97=1,"Model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97" s="12" t="n">
        <x:f>N97+ROUNDUP('Original data'!F97/O97,0)</x:f>
        <x:v>15</x:v>
      </x:c>
      <x:c r="W97" s="12" t="n">
        <x:f>P97-V97</x:f>
        <x:v>5</x:v>
      </x:c>
      <x:c r="X97" s="22" t="n">
        <x:f>ROUND(('Original data'!E97-Q97)/'Original data'!E97,10)</x:f>
        <x:v>0.12</x:v>
      </x:c>
      <x:c r="Y97" s="12" t="str">
        <x:v>Synthetic domain-informed scenario; seed 20261002</x:v>
      </x:c>
      <x:c r="Z97" s="12" t="str">
        <x:v>Scenario 096</x:v>
      </x:c>
    </x:row>
    <x:row r="98" ht="140" customHeight="1">
      <x:c r="A98" s="13" t="s">
        <x:v>99</x:v>
      </x:c>
      <x:c r="B98" s="13" t="s">
        <x:v>3</x:v>
      </x:c>
      <x:c r="C98" s="13" t="s">
        <x:v>3</x:v>
      </x:c>
      <x:c r="D98" s="13" t="str">
        <x:v>Synthetic scenario 097. Elements: Windows + Doors (High Insulation). Systems: AWS 75.SI+ / ASE 80.HI. Complexity: High; profile: Non-standard; wind: High; region: Inland. Value GBP 189,000; fabrication 1597 h. Physical dimensions and structural capacity are not calculated.</x:v>
      </x:c>
      <x:c r="E98" s="13" t="str">
        <x:v>All added conditions are synthetic assumptions. Statuses follow the Protocol; no historical outcomes or independent expert validation.</x:v>
      </x:c>
      <x:c r="F98" s="20" t="str">
        <x:f>IF(R98=2,"Critical",IF(R98=1,"Clarification","Acceptable"))</x:f>
        <x:v>Clarification</x:v>
      </x:c>
      <x:c r="G98" s="20" t="str">
        <x:f>IF(W98&lt;0,"Critical",IF(W98&lt;'Protocol'!$B$25,"Clarification","Acceptable"))</x:f>
        <x:v>Acceptable</x:v>
      </x:c>
      <x:c r="H98" s="20" t="str">
        <x:f>IF(X98&lt;'Protocol'!$B$23,"Critical",IF(X98&lt;'Protocol'!$B$24,"Clarification","Acceptable"))</x:f>
        <x:v>Clarification</x:v>
      </x:c>
      <x:c r="I98" s="20" t="str">
        <x:f>IF(T98&gt;=2,"Critical",IF(T98=1,"Clarification","Acceptable"))</x:f>
        <x:v>Acceptable</x:v>
      </x:c>
      <x:c r="J98" s="20" t="str">
        <x:f t="shared" ref="J98:J101" si="6">IF(COUNTIF(F98:I98,"Critical")&gt;0,"High",IF(COUNTIF(F98:I98,"Clarification")&gt;0,"Medium","Low"))</x:f>
        <x:v>Medium</x:v>
      </x:c>
      <x:c r="K98" s="20" t="str">
        <x:f>"Technical: "&amp;S98&amp;" Schedule: readiness "&amp;V98&amp;" weeks, deadline "&amp;P98&amp;" weeks, buffer "&amp;W98&amp;" weeks ("&amp;G98&amp;"). Commercial: gross margin "&amp;TEXT(X98,"0.0%")&amp;" ("&amp;H98&amp;"). Documentation: "&amp;U98&amp;" Result: "&amp;J98&amp;IF(J98="High"," because at least one domain is Critical.",IF(J98="Medium"," because clarification is required and no domain is Critical."," because all four domains are Acceptable."))</x:f>
        <x:v>Technical: Model assumes connection and profile compatibility remain to be confirmed; no incompatibility has been established. Schedule: readiness 17 weeks, deadline 24 weeks, buffer 7 weeks (Acceptable). Commercial: gross margin 12.0% (Clarification). Documentation: Model assumes drawings, installation scope and performance requirements are supplied. Result: Medium because clarification is required and no domain is Critical.</x:v>
      </x:c>
      <x:c r="L98" s="20" t="str">
        <x:f>IF(F98="Critical","Revise profile or connection. ",IF(F98="Clarification","Confirm connection and profile compatibility. ",""))&amp;IF(G98="Critical","Revise deadline or procurement/production plan. ",IF(G98="Clarification","Confirm capacity and protect the schedule buffer. ",""))&amp;IF(H98="Critical","Revise price or costs. ",IF(H98="Clarification","Confirm cost allowances and margin. ",""))&amp;IF(I98="Critical","Obtain drawings and performance requirements. ",IF(I98="Clarification","Confirm installation scope. ",""))&amp;IF(J98="Low","Proceed to routine tender checks.","")</x:f>
        <x:v>Confirm connection and profile compatibility. Confirm cost allowances and margin. </x:v>
      </x:c>
      <x:c r="M98" s="20" t="str">
        <x:f t="shared" si="5">IF(J98=B98,"Matches legacy label","Different from legacy label")</x:f>
        <x:v>Different from legacy label</x:v>
      </x:c>
      <x:c r="N98" s="19" t="n">
        <x:v>12</x:v>
      </x:c>
      <x:c r="O98" s="19" t="n">
        <x:v>320</x:v>
      </x:c>
      <x:c r="P98" s="19" t="n">
        <x:v>24</x:v>
      </x:c>
      <x:c r="Q98" s="23" t="n">
        <x:v>166320</x:v>
      </x:c>
      <x:c r="R98" s="19" t="n">
        <x:v>1</x:v>
      </x:c>
      <x:c r="S98" s="21" t="str">
        <x:f>IF(R98=2,"Model assumes the specified connection cannot fit the selected profile geometry; redesign or profile substitution is required.",IF(R98=1,"Model assumes connection and profile compatibility remain to be confirmed; no incompatibility has been established.","Model assumes the selected configuration fulfils the stated requirements; no unresolved technical issue."))</x:f>
        <x:v>Model assumes connection and profile compatibility remain to be confirmed; no incompatibility has been established.</x:v>
      </x:c>
      <x:c r="T98" s="19" t="n">
        <x:v>0</x:v>
      </x:c>
      <x:c r="U98" s="21" t="str">
        <x:f>IF(T98&gt;=2,"Model assumes both final drawings and performance requirements are absent, preventing confirmation of scope and price.",IF(T98=1,"Model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98" s="12" t="n">
        <x:f>N98+ROUNDUP('Original data'!F98/O98,0)</x:f>
        <x:v>17</x:v>
      </x:c>
      <x:c r="W98" s="12" t="n">
        <x:f>P98-V98</x:f>
        <x:v>7</x:v>
      </x:c>
      <x:c r="X98" s="22" t="n">
        <x:f>ROUND(('Original data'!E98-Q98)/'Original data'!E98,10)</x:f>
        <x:v>0.12</x:v>
      </x:c>
      <x:c r="Y98" s="12" t="str">
        <x:v>Synthetic domain-informed scenario; seed 20261002</x:v>
      </x:c>
      <x:c r="Z98" s="12" t="str">
        <x:v>Scenario 097</x:v>
      </x:c>
    </x:row>
    <x:row r="99" ht="140" customHeight="1">
      <x:c r="A99" s="13" t="s">
        <x:v>100</x:v>
      </x:c>
      <x:c r="B99" s="13" t="s">
        <x:v>1</x:v>
      </x:c>
      <x:c r="C99" s="13" t="s">
        <x:v>7</x:v>
      </x:c>
      <x:c r="D99" s="13" t="str">
        <x:v>Synthetic scenario 098. Elements: Curtain Wall only. Systems: FWS 50. Complexity: Low; profile: Standard; wind: High; region: Inland. Value GBP 137,000; fabrication 450 h. Physical dimensions and structural capacity are not calculated.</x:v>
      </x:c>
      <x:c r="E99" s="13" t="str">
        <x:v>All added conditions are synthetic assumptions. Statuses follow the Protocol; no historical outcomes or independent expert validation.</x:v>
      </x:c>
      <x:c r="F99" s="20" t="str">
        <x:f>IF(R99=2,"Critical",IF(R99=1,"Clarification","Acceptable"))</x:f>
        <x:v>Acceptable</x:v>
      </x:c>
      <x:c r="G99" s="20" t="str">
        <x:f>IF(W99&lt;0,"Critical",IF(W99&lt;'Protocol'!$B$25,"Clarification","Acceptable"))</x:f>
        <x:v>Acceptable</x:v>
      </x:c>
      <x:c r="H99" s="20" t="str">
        <x:f>IF(X99&lt;'Protocol'!$B$23,"Critical",IF(X99&lt;'Protocol'!$B$24,"Clarification","Acceptable"))</x:f>
        <x:v>Acceptable</x:v>
      </x:c>
      <x:c r="I99" s="20" t="str">
        <x:f>IF(T99&gt;=2,"Critical",IF(T99=1,"Clarification","Acceptable"))</x:f>
        <x:v>Clarification</x:v>
      </x:c>
      <x:c r="J99" s="20" t="str">
        <x:f t="shared" si="6">IF(COUNTIF(F99:I99,"Critical")&gt;0,"High",IF(COUNTIF(F99:I99,"Clarification")&gt;0,"Medium","Low"))</x:f>
        <x:v>Medium</x:v>
      </x:c>
      <x:c r="K99" s="20" t="str">
        <x:f>"Technical: "&amp;S99&amp;" Schedule: readiness "&amp;V99&amp;" weeks, deadline "&amp;P99&amp;" weeks, buffer "&amp;W99&amp;" weeks ("&amp;G99&amp;"). Commercial: gross margin "&amp;TEXT(X99,"0.0%")&amp;" ("&amp;H99&amp;"). Documentation: "&amp;U99&amp;" Result: "&amp;J99&amp;IF(J99="High"," because at least one domain is Critical.",IF(J99="Medium"," because clarification is required and no domain is Critical."," because all four domains are Acceptable."))</x:f>
        <x:v>Technical: Model assumes the selected configuration fulfils the stated requirements; no unresolved technical issue. Schedule: readiness 12 weeks, deadline 15 weeks, buffer 3 weeks (Acceptable). Commercial: gross margin 22.0% (Acceptable). Documentation: Model assumes the installation scope requires written confirmation; drawings and performance requirements are supplied. Result: Medium because clarification is required and no domain is Critical.</x:v>
      </x:c>
      <x:c r="L99" s="20" t="str">
        <x:f>IF(F99="Critical","Revise profile or connection. ",IF(F99="Clarification","Confirm connection and profile compatibility. ",""))&amp;IF(G99="Critical","Revise deadline or procurement/production plan. ",IF(G99="Clarification","Confirm capacity and protect the schedule buffer. ",""))&amp;IF(H99="Critical","Revise price or costs. ",IF(H99="Clarification","Confirm cost allowances and margin. ",""))&amp;IF(I99="Critical","Obtain drawings and performance requirements. ",IF(I99="Clarification","Confirm installation scope. ",""))&amp;IF(J99="Low","Proceed to routine tender checks.","")</x:f>
        <x:v>Confirm installation scope. </x:v>
      </x:c>
      <x:c r="M99" s="20" t="str">
        <x:f t="shared" si="5">IF(J99=B99,"Matches legacy label","Different from legacy label")</x:f>
        <x:v>Matches legacy label</x:v>
      </x:c>
      <x:c r="N99" s="19" t="n">
        <x:v>10</x:v>
      </x:c>
      <x:c r="O99" s="19" t="n">
        <x:v>240</x:v>
      </x:c>
      <x:c r="P99" s="19" t="n">
        <x:v>15</x:v>
      </x:c>
      <x:c r="Q99" s="23" t="n">
        <x:v>106860</x:v>
      </x:c>
      <x:c r="R99" s="19" t="n">
        <x:v>0</x:v>
      </x:c>
      <x:c r="S99" s="21" t="str">
        <x:f>IF(R99=2,"Model assumes the specified connection cannot fit the selected profile geometry; redesign or profile substitution is required.",IF(R99=1,"Model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99" s="19" t="n">
        <x:v>1</x:v>
      </x:c>
      <x:c r="U99" s="21" t="str">
        <x:f>IF(T99&gt;=2,"Model assumes both final drawings and performance requirements are absent, preventing confirmation of scope and price.",IF(T99=1,"Model assumes the installation scope requires written confirmation; drawings and performance requirements are supplied.","Model assumes drawings, installation scope and performance requirements are supplied."))</x:f>
        <x:v>Model assumes the installation scope requires written confirmation; drawings and performance requirements are supplied.</x:v>
      </x:c>
      <x:c r="V99" s="12" t="n">
        <x:f>N99+ROUNDUP('Original data'!F99/O99,0)</x:f>
        <x:v>12</x:v>
      </x:c>
      <x:c r="W99" s="12" t="n">
        <x:f>P99-V99</x:f>
        <x:v>3</x:v>
      </x:c>
      <x:c r="X99" s="22" t="n">
        <x:f>ROUND(('Original data'!E99-Q99)/'Original data'!E99,10)</x:f>
        <x:v>0.22</x:v>
      </x:c>
      <x:c r="Y99" s="12" t="str">
        <x:v>Synthetic domain-informed scenario; seed 20261002</x:v>
      </x:c>
      <x:c r="Z99" s="12" t="str">
        <x:v>Scenario 098</x:v>
      </x:c>
    </x:row>
    <x:row r="100" ht="140" customHeight="1">
      <x:c r="A100" s="13" t="s">
        <x:v>101</x:v>
      </x:c>
      <x:c r="B100" s="13" t="s">
        <x:v>3</x:v>
      </x:c>
      <x:c r="C100" s="13" t="s">
        <x:v>3</x:v>
      </x:c>
      <x:c r="D100" s="13" t="str">
        <x:v>Synthetic scenario 099. Elements: Windows + Doors + Curtain Wall. Systems: AWS 75.SI+ / FWS 50 / AD UP 75. Complexity: High; profile: Non-standard; wind: High; region: Urban. Value GBP 55,000; fabrication 667 h. Physical dimensions and structural capacity are not calculated.</x:v>
      </x:c>
      <x:c r="E100" s="13" t="str">
        <x:v>All added conditions are synthetic assumptions. Statuses follow the Protocol; no historical outcomes or independent expert validation.</x:v>
      </x:c>
      <x:c r="F100" s="20" t="str">
        <x:f>IF(R100=2,"Critical",IF(R100=1,"Clarification","Acceptable"))</x:f>
        <x:v>Acceptable</x:v>
      </x:c>
      <x:c r="G100" s="20" t="str">
        <x:f>IF(W100&lt;0,"Critical",IF(W100&lt;'Protocol'!$B$25,"Clarification","Acceptable"))</x:f>
        <x:v>Acceptable</x:v>
      </x:c>
      <x:c r="H100" s="20" t="str">
        <x:f>IF(X100&lt;'Protocol'!$B$23,"Critical",IF(X100&lt;'Protocol'!$B$24,"Clarification","Acceptable"))</x:f>
        <x:v>Acceptable</x:v>
      </x:c>
      <x:c r="I100" s="20" t="str">
        <x:f>IF(T100&gt;=2,"Critical",IF(T100=1,"Clarification","Acceptable"))</x:f>
        <x:v>Acceptable</x:v>
      </x:c>
      <x:c r="J100" s="20" t="str">
        <x:f t="shared" si="6">IF(COUNTIF(F100:I100,"Critical")&gt;0,"High",IF(COUNTIF(F100:I100,"Clarification")&gt;0,"Medium","Low"))</x:f>
        <x:v>Low</x:v>
      </x:c>
      <x:c r="K100" s="20" t="str">
        <x:f>"Technical: "&amp;S100&amp;" Schedule: readiness "&amp;V100&amp;" weeks, deadline "&amp;P100&amp;" weeks, buffer "&amp;W100&amp;" weeks ("&amp;G100&amp;"). Commercial: gross margin "&amp;TEXT(X100,"0.0%")&amp;" ("&amp;H100&amp;"). Documentation: "&amp;U100&amp;" Result: "&amp;J100&amp;IF(J100="High"," because at least one domain is Critical.",IF(J100="Medium"," because clarification is required and no domain is Critical."," because all four domains are Acceptable."))</x:f>
        <x:v>Technical: Model assumes the selected configuration fulfils the stated requirements; no unresolved technical issue. Schedule: readiness 15 weeks, deadline 22 weeks, buffer 7 weeks (Acceptable). Commercial: gross margin 22.0% (Acceptable). Documentation: Model assumes drawings, installation scope and performance requirements are supplied. Result: Low because all four domains are Acceptable.</x:v>
      </x:c>
      <x:c r="L100" s="20" t="str">
        <x:f>IF(F100="Critical","Revise profile or connection. ",IF(F100="Clarification","Confirm connection and profile compatibility. ",""))&amp;IF(G100="Critical","Revise deadline or procurement/production plan. ",IF(G100="Clarification","Confirm capacity and protect the schedule buffer. ",""))&amp;IF(H100="Critical","Revise price or costs. ",IF(H100="Clarification","Confirm cost allowances and margin. ",""))&amp;IF(I100="Critical","Obtain drawings and performance requirements. ",IF(I100="Clarification","Confirm installation scope. ",""))&amp;IF(J100="Low","Proceed to routine tender checks.","")</x:f>
        <x:v>Proceed to routine tender checks.</x:v>
      </x:c>
      <x:c r="M100" s="20" t="str">
        <x:f t="shared" si="5">IF(J100=B100,"Matches legacy label","Different from legacy label")</x:f>
        <x:v>Different from legacy label</x:v>
      </x:c>
      <x:c r="N100" s="19" t="n">
        <x:v>12</x:v>
      </x:c>
      <x:c r="O100" s="19" t="n">
        <x:v>320</x:v>
      </x:c>
      <x:c r="P100" s="19" t="n">
        <x:v>22</x:v>
      </x:c>
      <x:c r="Q100" s="23" t="n">
        <x:v>42900</x:v>
      </x:c>
      <x:c r="R100" s="19" t="n">
        <x:v>0</x:v>
      </x:c>
      <x:c r="S100" s="21" t="str">
        <x:f>IF(R100=2,"Model assumes the specified connection cannot fit the selected profile geometry; redesign or profile substitution is required.",IF(R100=1,"Model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100" s="19" t="n">
        <x:v>0</x:v>
      </x:c>
      <x:c r="U100" s="21" t="str">
        <x:f>IF(T100&gt;=2,"Model assumes both final drawings and performance requirements are absent, preventing confirmation of scope and price.",IF(T100=1,"Model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00" s="12" t="n">
        <x:f>N100+ROUNDUP('Original data'!F100/O100,0)</x:f>
        <x:v>15</x:v>
      </x:c>
      <x:c r="W100" s="12" t="n">
        <x:f>P100-V100</x:f>
        <x:v>7</x:v>
      </x:c>
      <x:c r="X100" s="22" t="n">
        <x:f>ROUND(('Original data'!E100-Q100)/'Original data'!E100,10)</x:f>
        <x:v>0.22</x:v>
      </x:c>
      <x:c r="Y100" s="12" t="str">
        <x:v>Synthetic domain-informed scenario; seed 20261002</x:v>
      </x:c>
      <x:c r="Z100" s="12" t="str">
        <x:v>Scenario 099</x:v>
      </x:c>
    </x:row>
    <x:row r="101" ht="140" customHeight="1">
      <x:c r="A101" s="13" t="s">
        <x:v>102</x:v>
      </x:c>
      <x:c r="B101" s="13" t="s">
        <x:v>1</x:v>
      </x:c>
      <x:c r="C101" s="13" t="s">
        <x:v>1</x:v>
      </x:c>
      <x:c r="D101" s="13" t="str">
        <x:v>Synthetic scenario 100. Elements: Windows + Doors. Systems: AWS 75.SI+ / AD UP 75. Complexity: High; profile: Standard; wind: Low; region: Urban. Value GBP 239,000; fabrication 5256 h. Physical dimensions and structural capacity are not calculated.</x:v>
      </x:c>
      <x:c r="E101" s="13" t="str">
        <x:v>All added conditions are synthetic assumptions. Statuses follow the Protocol; no historical outcomes or independent expert validation.</x:v>
      </x:c>
      <x:c r="F101" s="20" t="str">
        <x:f>IF(R101=2,"Critical",IF(R101=1,"Clarification","Acceptable"))</x:f>
        <x:v>Acceptable</x:v>
      </x:c>
      <x:c r="G101" s="20" t="str">
        <x:f>IF(W101&lt;0,"Critical",IF(W101&lt;'Protocol'!$B$25,"Clarification","Acceptable"))</x:f>
        <x:v>Acceptable</x:v>
      </x:c>
      <x:c r="H101" s="20" t="str">
        <x:f>IF(X101&lt;'Protocol'!$B$23,"Critical",IF(X101&lt;'Protocol'!$B$24,"Clarification","Acceptable"))</x:f>
        <x:v>Acceptable</x:v>
      </x:c>
      <x:c r="I101" s="20" t="str">
        <x:f>IF(T101&gt;=2,"Critical",IF(T101=1,"Clarification","Acceptable"))</x:f>
        <x:v>Acceptable</x:v>
      </x:c>
      <x:c r="J101" s="20" t="str">
        <x:f t="shared" si="6">IF(COUNTIF(F101:I101,"Critical")&gt;0,"High",IF(COUNTIF(F101:I101,"Clarification")&gt;0,"Medium","Low"))</x:f>
        <x:v>Low</x:v>
      </x:c>
      <x:c r="K101" s="20" t="str">
        <x:f>"Technical: "&amp;S101&amp;" Schedule: readiness "&amp;V101&amp;" weeks, deadline "&amp;P101&amp;" weeks, buffer "&amp;W101&amp;" weeks ("&amp;G101&amp;"). Commercial: gross margin "&amp;TEXT(X101,"0.0%")&amp;" ("&amp;H101&amp;"). Documentation: "&amp;U101&amp;" Result: "&amp;J101&amp;IF(J101="High"," because at least one domain is Critical.",IF(J101="Medium"," because clarification is required and no domain is Critical."," because all four domains are Acceptable."))</x:f>
        <x:v>Technical: Model assumes the selected configuration fulfils the stated requirements; no unresolved technical issue. Schedule: readiness 32 weeks, deadline 35 weeks, buffer 3 weeks (Acceptable). Commercial: gross margin 22.0% (Acceptable). Documentation: Model assumes drawings, installation scope and performance requirements are supplied. Result: Low because all four domains are Acceptable.</x:v>
      </x:c>
      <x:c r="L101" s="20" t="str">
        <x:f>IF(F101="Critical","Revise profile or connection. ",IF(F101="Clarification","Confirm connection and profile compatibility. ",""))&amp;IF(G101="Critical","Revise deadline or procurement/production plan. ",IF(G101="Clarification","Confirm capacity and protect the schedule buffer. ",""))&amp;IF(H101="Critical","Revise price or costs. ",IF(H101="Clarification","Confirm cost allowances and margin. ",""))&amp;IF(I101="Critical","Obtain drawings and performance requirements. ",IF(I101="Clarification","Confirm installation scope. ",""))&amp;IF(J101="Low","Proceed to routine tender checks.","")</x:f>
        <x:v>Proceed to routine tender checks.</x:v>
      </x:c>
      <x:c r="M101" s="20" t="str">
        <x:f t="shared" si="5">IF(J101=B101,"Matches legacy label","Different from legacy label")</x:f>
        <x:v>Different from legacy label</x:v>
      </x:c>
      <x:c r="N101" s="19" t="n">
        <x:v>10</x:v>
      </x:c>
      <x:c r="O101" s="19" t="n">
        <x:v>240</x:v>
      </x:c>
      <x:c r="P101" s="19" t="n">
        <x:v>35</x:v>
      </x:c>
      <x:c r="Q101" s="23" t="n">
        <x:v>186420</x:v>
      </x:c>
      <x:c r="R101" s="19" t="n">
        <x:v>0</x:v>
      </x:c>
      <x:c r="S101" s="21" t="str">
        <x:f>IF(R101=2,"Model assumes the specified connection cannot fit the selected profile geometry; redesign or profile substitution is required.",IF(R101=1,"Model assumes connection and profile compatibility remain to be confirmed; no incompatibility has been established.","Model assumes the selected configuration fulfils the stated requirements; no unresolved technical issue."))</x:f>
        <x:v>Model assumes the selected configuration fulfils the stated requirements; no unresolved technical issue.</x:v>
      </x:c>
      <x:c r="T101" s="19" t="n">
        <x:v>0</x:v>
      </x:c>
      <x:c r="U101" s="21" t="str">
        <x:f>IF(T101&gt;=2,"Model assumes both final drawings and performance requirements are absent, preventing confirmation of scope and price.",IF(T101=1,"Model assumes the installation scope requires written confirmation; drawings and performance requirements are supplied.","Model assumes drawings, installation scope and performance requirements are supplied."))</x:f>
        <x:v>Model assumes drawings, installation scope and performance requirements are supplied.</x:v>
      </x:c>
      <x:c r="V101" s="12" t="n">
        <x:f>N101+ROUNDUP('Original data'!F101/O101,0)</x:f>
        <x:v>32</x:v>
      </x:c>
      <x:c r="W101" s="12" t="n">
        <x:f>P101-V101</x:f>
        <x:v>3</x:v>
      </x:c>
      <x:c r="X101" s="22" t="n">
        <x:f>ROUND(('Original data'!E101-Q101)/'Original data'!E101,10)</x:f>
        <x:v>0.22</x:v>
      </x:c>
      <x:c r="Y101" s="12" t="str">
        <x:v>Synthetic domain-informed scenario; seed 20261002</x:v>
      </x:c>
      <x:c r="Z101" s="12" t="str">
        <x:v>Scenario 100</x:v>
      </x:c>
    </x:row>
  </x:sheetData>
  <x:conditionalFormatting sqref="J2:J101">
    <x:cfRule type="expression" dxfId="3" priority="1">
      <x:formula>$J2="Low"</x:formula>
    </x:cfRule>
    <x:cfRule type="expression" dxfId="4" priority="2">
      <x:formula>$J2="Medium"</x:formula>
    </x:cfRule>
    <x:cfRule type="expression" dxfId="5" priority="3">
      <x:formula>$J2="High"</x:formula>
    </x:cfRule>
  </x:conditionalFormatting>
  <x:dataValidations count="1">
    <x:dataValidation type="list" sqref="F2:I101">
      <x:formula1>"Unassessed,Acceptable,Clarification,Critical"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74d84045b8a486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34" hidden="0" customWidth="1"/>
    <x:col min="2" max="2" width="110" hidden="0" customWidth="1"/>
  </x:cols>
  <x:sheetData>
    <x:row r="1" ht="42" customHeight="1">
      <x:c r="A1" s="11" t="s">
        <x:v>103</x:v>
      </x:c>
      <x:c r="B1" s="11" t="s">
        <x:v>104</x:v>
      </x:c>
    </x:row>
    <x:row r="2" ht="64" customHeight="1">
      <x:c r="A2" s="13" t="str">
        <x:v>Purpose</x:v>
      </x:c>
      <x:c r="B2" s="13" t="str">
        <x:v>Fully specified synthetic scenarios for a four-domain rule-based experiment. This replaces the unassessed review draft, not independent validation.</x:v>
      </x:c>
    </x:row>
    <x:row r="3" ht="64" customHeight="1">
      <x:c r="A3" s="13" t="str">
        <x:v>Acceptable</x:v>
      </x:c>
      <x:c r="B3" s="13" t="str">
        <x:v>No material unresolved issue under the modelled conditions.</x:v>
      </x:c>
    </x:row>
    <x:row r="4" ht="64" customHeight="1">
      <x:c r="A4" s="13" t="str">
        <x:v>Clarification</x:v>
      </x:c>
      <x:c r="B4" s="13" t="str">
        <x:v>Confirmation or routine mitigation required; no critical blocker established.</x:v>
      </x:c>
    </x:row>
    <x:row r="5" ht="64" customHeight="1">
      <x:c r="A5" s="13" t="str">
        <x:v>Critical</x:v>
      </x:c>
      <x:c r="B5" s="13" t="str">
        <x:v>A modelled conflict requires revision of technical solution, deadline, price or scope.</x:v>
      </x:c>
    </x:row>
    <x:row r="6" ht="64" customHeight="1">
      <x:c r="A6" s="13" t="str">
        <x:v>Unassessed</x:v>
      </x:c>
      <x:c r="B6" s="13" t="str">
        <x:v>Not used in these completed scenarios; missing project information is represented explicitly in the documentation domain.</x:v>
      </x:c>
    </x:row>
    <x:row r="7" ht="64" customHeight="1">
      <x:c r="A7" s="13" t="str">
        <x:v>Low</x:v>
      </x:c>
      <x:c r="B7" s="13" t="str">
        <x:v>All four domains Acceptable.</x:v>
      </x:c>
    </x:row>
    <x:row r="8" ht="64" customHeight="1">
      <x:c r="A8" s="13" t="str">
        <x:v>Medium</x:v>
      </x:c>
      <x:c r="B8" s="13" t="str">
        <x:v>At least one Clarification and no Critical.</x:v>
      </x:c>
    </x:row>
    <x:row r="9" ht="64" customHeight="1">
      <x:c r="A9" s="13" t="str">
        <x:v>High</x:v>
      </x:c>
      <x:c r="B9" s="13" t="str">
        <x:v>At least one Critical. No weighted score is used.</x:v>
      </x:c>
    </x:row>
    <x:row r="10" ht="64" customHeight="1">
      <x:c r="A10" s="13" t="str">
        <x:v>Technical</x:v>
      </x:c>
      <x:c r="B10" s="13" t="str">
        <x:v>Issue code 0: assumed compatible; 1: compatibility confirmation pending; 2: explicit connection/profile geometry conflict. Complexity or high wind alone does not imply failure.</x:v>
      </x:c>
    </x:row>
    <x:row r="11" ht="64" customHeight="1">
      <x:c r="A11" s="13" t="str">
        <x:v>Schedule</x:v>
      </x:c>
      <x:c r="B11" s="13" t="str">
        <x:v>Readiness = supplier lead + ceiling(fabrication hours / allocated weekly capacity). Sequential procurement then fabrication, no overlap. Negative buffer Critical; buffer below minimum Clarification; otherwise Acceptable.</x:v>
      </x:c>
    </x:row>
    <x:row r="12" ht="64" customHeight="1">
      <x:c r="A12" s="13" t="str">
        <x:v>Commercial</x:v>
      </x:c>
      <x:c r="B12" s="13" t="str">
        <x:v>Gross margin = (contract value - assumed total cost) / contract value. Below critical threshold Critical; below acceptable threshold Clarification; otherwise Acceptable. Includes all cost allowances by modelling assumption.</x:v>
      </x:c>
    </x:row>
    <x:row r="13" ht="64" customHeight="1">
      <x:c r="A13" s="13" t="str">
        <x:v>Documentation</x:v>
      </x:c>
      <x:c r="B13" s="13" t="str">
        <x:v>0 missing groups Acceptable; 1 installation-scope confirmation Clarification; 2 final drawings and performance requirements missing Critical.</x:v>
      </x:c>
    </x:row>
    <x:row r="14" ht="64" customHeight="1">
      <x:c r="A14" s="13" t="str">
        <x:v>Justification</x:v>
      </x:c>
      <x:c r="B14" s="13" t="str">
        <x:v>Formula-generated from current scenario inputs. It explains the rule outcome; it is not an independent expert opinion.</x:v>
      </x:c>
    </x:row>
    <x:row r="15" ht="64" customHeight="1">
      <x:c r="A15" s="13" t="str">
        <x:v>Independence</x:v>
      </x:c>
      <x:c r="B15" s="13" t="str">
        <x:v>Labels are deterministically generated from synthetic conditions. ML evaluation measures reproduction of this scheme, not independently observed real-project risk.</x:v>
      </x:c>
    </x:row>
    <x:row r="16" ht="64" customHeight="1">
      <x:c r="A16" s="13" t="str">
        <x:v>If labels change</x:v>
      </x:c>
      <x:c r="B16" s="13" t="str">
        <x:v>This is a new target version. Previous model metrics and the four-factor automatic-label notebook/thesis are not results for this dataset. Rerun ML and update methodology before reporting these results.</x:v>
      </x:c>
    </x:row>
    <x:row r="17" ht="64" customHeight="1">
      <x:c r="A17" s="13" t="str">
        <x:v>Provenance</x:v>
      </x:c>
      <x:c r="B17" s="13" t="str">
        <x:v>Original characteristics reused from supplied workbook; names and source markers anonymised. All new fields N:U are generated modelling assumptions, never company records. Legacy IDs are join keys only.</x:v>
      </x:c>
    </x:row>
    <x:row r="18" ht="64" customHeight="1">
      <x:c r="A18" s="13" t="str">
        <x:v>Generation</x:v>
      </x:c>
      <x:c r="B18" s="13" t="str">
        <x:v>Python random.Random(20261002), source row order. No target label is used to generate conditions. No post-generation balancing.</x:v>
      </x:c>
    </x:row>
    <x:row r="19" ht="64" customHeight="1">
      <x:c r="A19" s="13" t="str">
        <x:v>Distribution assumptions</x:v>
      </x:c>
      <x:c r="B19" s="13" t="str">
        <x:v>Lead: standard 10, non-standard 12 weeks as explicit scenario overrides, not supplier norms. Capacity uniform 160/240/320 h/week. Buffer -3/-1/0/1/3/5/7 weights 4/4/10/10/24/24/24.</x:v>
      </x:c>
    </x:row>
    <x:row r="20" ht="64" customHeight="1">
      <x:c r="A20" s="13" t="str">
        <x:v>Other draws</x:v>
      </x:c>
      <x:c r="B20" s="13" t="str">
        <x:v>Margin 7/9/12/14/18/22/26% weights 4/4/11/11/24/24/22. Technical issue and missing-doc codes independently sampled 0/1/2 with weights 70/25/5. Synthetic distributions, not empirical frequencies.</x:v>
      </x:c>
    </x:row>
    <x:row r="21" ht="64" customHeight="1">
      <x:c r="A21" s="12" t="str">
        <x:v>ML exclusions</x:v>
      </x:c>
      <x:c r="B21" s="12" t="str">
        <x:v>Exclude labels, legacy labels, statuses, explanation, actions, comparison, names, IDs, provenance and direct calculated target summaries from predictors. Use declared scenario inputs; four-domain generating rules remain the exact benchmark.</x:v>
      </x:c>
    </x:row>
    <x:row r="22" ht="64" customHeight="1">
      <x:c r="A22" s="12" t="str">
        <x:v>Threshold interpretation</x:v>
      </x:c>
      <x:c r="B22" s="12" t="str">
        <x:v>The following thresholds are uncalibrated study assumptions. They do not establish industry acceptance criteria or probabilities.</x:v>
      </x:c>
    </x:row>
    <x:row r="23" ht="64" customHeight="1">
      <x:c r="A23" s="12" t="str">
        <x:v>Critical margin threshold</x:v>
      </x:c>
      <x:c r="B23" s="25" t="n">
        <x:v>0.1</x:v>
      </x:c>
    </x:row>
    <x:row r="24" ht="64" customHeight="1">
      <x:c r="A24" s="12" t="str">
        <x:v>Acceptable margin threshold</x:v>
      </x:c>
      <x:c r="B24" s="25" t="n">
        <x:v>0.15</x:v>
      </x:c>
    </x:row>
    <x:row r="25" ht="64" customHeight="1">
      <x:c r="A25" s="12" t="str">
        <x:v>Minimum acceptable schedule buffer weeks</x:v>
      </x:c>
      <x:c r="B25" s="12" t="n">
        <x:v>2</x:v>
      </x:c>
    </x:row>
    <x:row r="26" ht="64" customHeight="1">
      <x:c r="A26" s="12" t="str">
        <x:v>Security</x:v>
      </x:c>
      <x:c r="B26" s="12" t="str">
        <x:v>RC2/RC3/PAS24 fields are existing modelling assumptions and do not establish verified certification or compliance.</x:v>
      </x:c>
    </x:row>
    <x:row r="27" ht="64" customHeight="1">
      <x:c r="A27" s="12" t="str">
        <x:v>Source limitations</x:v>
      </x:c>
      <x:c r="B27" s="12" t="str">
        <x:v>No physical geometry verification, structural calculations, supplier quotes or observed outcomes. New assumptions may be revised with evidence.</x:v>
      </x:c>
    </x:row>
    <x:row r="28" ht="64" customHeight="1">
      <x:c r="A28" s="12" t="str">
        <x:v>Reference file</x:v>
      </x:c>
      <x:c r="B28" s="12" t="str">
        <x:v>The previous 50-versus-8 reference-case discrepancy remains outside this workbook task.</x:v>
      </x:c>
    </x:row>
    <x:row r="29" ht="64" customHeight="1">
      <x:c r="A29" s="12" t="str">
        <x:v>Example interpretation</x:v>
      </x:c>
      <x:c r="B29" s="12" t="str">
        <x:v>High can result from a single explicit blocker even for a simple standard construction. A complex coastal scenario can be Low when all modelled requirements are resolved.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3.800000190734863"/>
  <x:cols>
    <x:col min="1" max="29" width="20" customWidth="1"/>
  </x:cols>
  <x:sheetData>
    <x:row r="1" ht="42" customHeight="1">
      <x:c r="A1" s="3" t="s">
        <x:v>105</x:v>
      </x:c>
      <x:c r="B1" s="3" t="s">
        <x:v>106</x:v>
      </x:c>
      <x:c r="C1" s="3" t="s">
        <x:v>107</x:v>
      </x:c>
      <x:c r="D1" s="3" t="s">
        <x:v>108</x:v>
      </x:c>
      <x:c r="E1" s="3" t="s">
        <x:v>109</x:v>
      </x:c>
      <x:c r="F1" s="3" t="s">
        <x:v>110</x:v>
      </x:c>
      <x:c r="G1" s="3" t="s">
        <x:v>111</x:v>
      </x:c>
      <x:c r="H1" s="3" t="s">
        <x:v>112</x:v>
      </x:c>
      <x:c r="I1" s="3" t="s">
        <x:v>113</x:v>
      </x:c>
      <x:c r="J1" s="3" t="s">
        <x:v>114</x:v>
      </x:c>
      <x:c r="K1" s="3" t="s">
        <x:v>115</x:v>
      </x:c>
      <x:c r="L1" s="3" t="s">
        <x:v>116</x:v>
      </x:c>
      <x:c r="M1" s="3" t="str">
        <x:v>Legacy_Author_Label</x:v>
      </x:c>
      <x:c r="N1" s="3" t="str">
        <x:v>Legacy_Rule_Label</x:v>
      </x:c>
      <x:c r="O1" s="3" t="s">
        <x:v>117</x:v>
      </x:c>
      <x:c r="P1" s="3" t="s">
        <x:v>118</x:v>
      </x:c>
      <x:c r="Q1" s="3" t="s">
        <x:v>119</x:v>
      </x:c>
      <x:c r="R1" s="3" t="s">
        <x:v>120</x:v>
      </x:c>
      <x:c r="S1" s="3" t="s">
        <x:v>121</x:v>
      </x:c>
      <x:c r="T1" s="3" t="s">
        <x:v>122</x:v>
      </x:c>
      <x:c r="U1" s="3" t="s">
        <x:v>123</x:v>
      </x:c>
      <x:c r="V1" s="3" t="s">
        <x:v>124</x:v>
      </x:c>
      <x:c r="W1" s="3" t="s">
        <x:v>125</x:v>
      </x:c>
      <x:c r="X1" s="3" t="s">
        <x:v>126</x:v>
      </x:c>
      <x:c r="Y1" s="3" t="s">
        <x:v>127</x:v>
      </x:c>
      <x:c r="Z1" s="3" t="s">
        <x:v>128</x:v>
      </x:c>
      <x:c r="AA1" s="3" t="s">
        <x:v>129</x:v>
      </x:c>
      <x:c r="AB1" s="3" t="s">
        <x:v>130</x:v>
      </x:c>
      <x:c r="AC1" s="3" t="s">
        <x:v>131</x:v>
      </x:c>
    </x:row>
    <x:row r="2" ht="55.04999923706055" customHeight="1">
      <x:c r="A2" s="1" t="s">
        <x:v>0</x:v>
      </x:c>
      <x:c r="B2" s="1" t="str">
        <x:v>Scenario 001</x:v>
      </x:c>
      <x:c r="C2" s="1" t="str">
        <x:v>Synthetic domain-informed scenario</x:v>
      </x:c>
      <x:c r="D2" s="1">
        <x:v>36</x:v>
      </x:c>
      <x:c r="E2" s="1">
        <x:v>112915</x:v>
      </x:c>
      <x:c r="F2" s="1">
        <x:v>510</x:v>
      </x:c>
      <x:c r="G2" s="1" t="s">
        <x:v>132</x:v>
      </x:c>
      <x:c r="H2" s="1" t="s">
        <x:v>133</x:v>
      </x:c>
      <x:c r="I2" s="1" t="s">
        <x:v>134</x:v>
      </x:c>
      <x:c r="J2" s="1" t="s">
        <x:v>3</x:v>
      </x:c>
      <x:c r="K2" s="1" t="s">
        <x:v>1</x:v>
      </x:c>
      <x:c r="L2" s="1" t="s">
        <x:v>135</x:v>
      </x:c>
      <x:c r="M2" s="1" t="s">
        <x:v>1</x:v>
      </x:c>
      <x:c r="N2" s="1" t="s">
        <x:v>1</x:v>
      </x:c>
      <x:c r="O2" s="1">
        <x:v>7</x:v>
      </x:c>
      <x:c r="P2" s="1">
        <x:v>3360</x:v>
      </x:c>
      <x:c r="Q2" s="1">
        <x:v>40</x:v>
      </x:c>
      <x:c r="R2" s="4" t="b">
        <x:v>1</x:v>
      </x:c>
      <x:c r="S2" s="1">
        <x:v>1</x:v>
      </x:c>
      <x:c r="T2" s="1">
        <x:v>1</x:v>
      </x:c>
      <x:c r="U2" s="1">
        <x:v>0</x:v>
      </x:c>
      <x:c r="V2" s="1">
        <x:v>0</x:v>
      </x:c>
      <x:c r="W2" s="1">
        <x:v>1</x:v>
      </x:c>
      <x:c r="X2" s="1">
        <x:v>0</x:v>
      </x:c>
      <x:c r="Y2" s="1">
        <x:v>0</x:v>
      </x:c>
      <x:c r="Z2" s="1" t="s">
        <x:v>136</x:v>
      </x:c>
      <x:c r="AA2" s="1" t="s">
        <x:v>136</x:v>
      </x:c>
      <x:c r="AB2" s="1" t="s">
        <x:v>137</x:v>
      </x:c>
      <x:c r="AC2" s="1" t="s">
        <x:v>138</x:v>
      </x:c>
    </x:row>
    <x:row r="3" ht="55.04999923706055" customHeight="1">
      <x:c r="A3" s="1" t="s">
        <x:v>2</x:v>
      </x:c>
      <x:c r="B3" s="1" t="str">
        <x:v>Scenario 002</x:v>
      </x:c>
      <x:c r="C3" s="1" t="str">
        <x:v>Synthetic domain-informed scenario</x:v>
      </x:c>
      <x:c r="D3" s="1">
        <x:v>82</x:v>
      </x:c>
      <x:c r="E3" s="1">
        <x:v>1669507</x:v>
      </x:c>
      <x:c r="F3" s="1">
        <x:v>6284</x:v>
      </x:c>
      <x:c r="G3" s="1" t="s">
        <x:v>132</x:v>
      </x:c>
      <x:c r="H3" s="1" t="s">
        <x:v>133</x:v>
      </x:c>
      <x:c r="I3" s="1" t="s">
        <x:v>134</x:v>
      </x:c>
      <x:c r="J3" s="1" t="s">
        <x:v>3</x:v>
      </x:c>
      <x:c r="K3" s="1" t="s">
        <x:v>3</x:v>
      </x:c>
      <x:c r="L3" s="1" t="s">
        <x:v>135</x:v>
      </x:c>
      <x:c r="M3" s="1" t="s">
        <x:v>1</x:v>
      </x:c>
      <x:c r="N3" s="1" t="s">
        <x:v>3</x:v>
      </x:c>
      <x:c r="O3" s="1">
        <x:v>14</x:v>
      </x:c>
      <x:c r="P3" s="1">
        <x:v>6720</x:v>
      </x:c>
      <x:c r="Q3" s="1">
        <x:v>23</x:v>
      </x:c>
      <x:c r="R3" s="4" t="b">
        <x:v>0</x:v>
      </x:c>
      <x:c r="S3" s="1">
        <x:v>1</x:v>
      </x:c>
      <x:c r="T3" s="1">
        <x:v>1</x:v>
      </x:c>
      <x:c r="U3" s="1">
        <x:v>0</x:v>
      </x:c>
      <x:c r="V3" s="1">
        <x:v>0</x:v>
      </x:c>
      <x:c r="W3" s="1">
        <x:v>1</x:v>
      </x:c>
      <x:c r="X3" s="1">
        <x:v>0</x:v>
      </x:c>
      <x:c r="Y3" s="1">
        <x:v>1</x:v>
      </x:c>
      <x:c r="Z3" s="1" t="s">
        <x:v>136</x:v>
      </x:c>
      <x:c r="AA3" s="1" t="s">
        <x:v>136</x:v>
      </x:c>
      <x:c r="AB3" s="1" t="s">
        <x:v>137</x:v>
      </x:c>
      <x:c r="AC3" s="1" t="s">
        <x:v>138</x:v>
      </x:c>
    </x:row>
    <x:row r="4" ht="55.04999923706055" customHeight="1">
      <x:c r="A4" s="1" t="s">
        <x:v>4</x:v>
      </x:c>
      <x:c r="B4" s="1" t="str">
        <x:v>Scenario 003</x:v>
      </x:c>
      <x:c r="C4" s="1" t="str">
        <x:v>Synthetic domain-informed scenario</x:v>
      </x:c>
      <x:c r="D4" s="1">
        <x:v>20</x:v>
      </x:c>
      <x:c r="E4" s="1">
        <x:v>71408</x:v>
      </x:c>
      <x:c r="F4" s="1">
        <x:v>500</x:v>
      </x:c>
      <x:c r="G4" s="1" t="s">
        <x:v>139</x:v>
      </x:c>
      <x:c r="H4" s="1" t="s">
        <x:v>140</x:v>
      </x:c>
      <x:c r="I4" s="1" t="s">
        <x:v>141</x:v>
      </x:c>
      <x:c r="J4" s="1" t="s">
        <x:v>7</x:v>
      </x:c>
      <x:c r="K4" s="1" t="s">
        <x:v>1</x:v>
      </x:c>
      <x:c r="L4" s="1" t="s">
        <x:v>135</x:v>
      </x:c>
      <x:c r="M4" s="1" t="s">
        <x:v>3</x:v>
      </x:c>
      <x:c r="N4" s="1" t="s">
        <x:v>1</x:v>
      </x:c>
      <x:c r="O4" s="1">
        <x:v>12</x:v>
      </x:c>
      <x:c r="P4" s="1">
        <x:v>5760</x:v>
      </x:c>
      <x:c r="Q4" s="1">
        <x:v>20</x:v>
      </x:c>
      <x:c r="R4" s="4" t="b">
        <x:v>0</x:v>
      </x:c>
      <x:c r="S4" s="1">
        <x:v>1</x:v>
      </x:c>
      <x:c r="T4" s="1">
        <x:v>0</x:v>
      </x:c>
      <x:c r="U4" s="1">
        <x:v>0</x:v>
      </x:c>
      <x:c r="V4" s="1">
        <x:v>0</x:v>
      </x:c>
      <x:c r="W4" s="1">
        <x:v>1</x:v>
      </x:c>
      <x:c r="X4" s="1">
        <x:v>0</x:v>
      </x:c>
      <x:c r="Y4" s="1">
        <x:v>0</x:v>
      </x:c>
      <x:c r="Z4" s="1" t="s">
        <x:v>136</x:v>
      </x:c>
      <x:c r="AA4" s="1" t="s">
        <x:v>137</x:v>
      </x:c>
      <x:c r="AB4" s="1" t="s">
        <x:v>137</x:v>
      </x:c>
      <x:c r="AC4" s="1" t="s">
        <x:v>138</x:v>
      </x:c>
    </x:row>
    <x:row r="5" ht="55.04999923706055" customHeight="1">
      <x:c r="A5" s="1" t="s">
        <x:v>5</x:v>
      </x:c>
      <x:c r="B5" s="1" t="str">
        <x:v>Scenario 004</x:v>
      </x:c>
      <x:c r="C5" s="1" t="str">
        <x:v>Synthetic domain-informed scenario</x:v>
      </x:c>
      <x:c r="D5" s="1">
        <x:v>95</x:v>
      </x:c>
      <x:c r="E5" s="1">
        <x:v>311147</x:v>
      </x:c>
      <x:c r="F5" s="1">
        <x:v>3000</x:v>
      </x:c>
      <x:c r="G5" s="1" t="s">
        <x:v>139</x:v>
      </x:c>
      <x:c r="H5" s="1" t="s">
        <x:v>140</x:v>
      </x:c>
      <x:c r="I5" s="1" t="s">
        <x:v>142</x:v>
      </x:c>
      <x:c r="J5" s="1" t="s">
        <x:v>7</x:v>
      </x:c>
      <x:c r="K5" s="1" t="s">
        <x:v>3</x:v>
      </x:c>
      <x:c r="L5" s="1" t="s">
        <x:v>135</x:v>
      </x:c>
      <x:c r="M5" s="1" t="s">
        <x:v>3</x:v>
      </x:c>
      <x:c r="N5" s="1" t="s">
        <x:v>3</x:v>
      </x:c>
      <x:c r="O5" s="1">
        <x:v>14</x:v>
      </x:c>
      <x:c r="P5" s="1">
        <x:v>6720</x:v>
      </x:c>
      <x:c r="Q5" s="1">
        <x:v>28</x:v>
      </x:c>
      <x:c r="R5" s="4" t="b">
        <x:v>1</x:v>
      </x:c>
      <x:c r="S5" s="1">
        <x:v>1</x:v>
      </x:c>
      <x:c r="T5" s="1">
        <x:v>1</x:v>
      </x:c>
      <x:c r="U5" s="1">
        <x:v>0</x:v>
      </x:c>
      <x:c r="V5" s="1">
        <x:v>0</x:v>
      </x:c>
      <x:c r="W5" s="1">
        <x:v>1</x:v>
      </x:c>
      <x:c r="X5" s="1">
        <x:v>0</x:v>
      </x:c>
      <x:c r="Y5" s="1">
        <x:v>0</x:v>
      </x:c>
      <x:c r="Z5" s="1" t="s">
        <x:v>136</x:v>
      </x:c>
      <x:c r="AA5" s="1" t="s">
        <x:v>137</x:v>
      </x:c>
      <x:c r="AB5" s="1" t="s">
        <x:v>137</x:v>
      </x:c>
      <x:c r="AC5" s="1" t="s">
        <x:v>138</x:v>
      </x:c>
    </x:row>
    <x:row r="6" ht="55.04999923706055" customHeight="1">
      <x:c r="A6" s="1" t="s">
        <x:v>6</x:v>
      </x:c>
      <x:c r="B6" s="1" t="str">
        <x:v>Scenario 005</x:v>
      </x:c>
      <x:c r="C6" s="1" t="str">
        <x:v>Synthetic domain-informed scenario</x:v>
      </x:c>
      <x:c r="D6" s="1">
        <x:v>38</x:v>
      </x:c>
      <x:c r="E6" s="1">
        <x:v>307163</x:v>
      </x:c>
      <x:c r="F6" s="1">
        <x:v>1210</x:v>
      </x:c>
      <x:c r="G6" s="1" t="s">
        <x:v>143</x:v>
      </x:c>
      <x:c r="H6" s="1" t="s">
        <x:v>144</x:v>
      </x:c>
      <x:c r="I6" s="1" t="s">
        <x:v>141</x:v>
      </x:c>
      <x:c r="J6" s="1" t="s">
        <x:v>7</x:v>
      </x:c>
      <x:c r="K6" s="1" t="s">
        <x:v>1</x:v>
      </x:c>
      <x:c r="L6" s="1" t="s">
        <x:v>145</x:v>
      </x:c>
      <x:c r="M6" s="1" t="s">
        <x:v>7</x:v>
      </x:c>
      <x:c r="N6" s="1" t="s">
        <x:v>1</x:v>
      </x:c>
      <x:c r="O6" s="1">
        <x:v>6</x:v>
      </x:c>
      <x:c r="P6" s="1">
        <x:v>2880</x:v>
      </x:c>
      <x:c r="Q6" s="1">
        <x:v>27</x:v>
      </x:c>
      <x:c r="R6" s="4" t="b">
        <x:v>0</x:v>
      </x:c>
      <x:c r="S6" s="1">
        <x:v>0</x:v>
      </x:c>
      <x:c r="T6" s="1">
        <x:v>0</x:v>
      </x:c>
      <x:c r="U6" s="1">
        <x:v>0</x:v>
      </x:c>
      <x:c r="V6" s="1">
        <x:v>0</x:v>
      </x:c>
      <x:c r="W6" s="1">
        <x:v>1</x:v>
      </x:c>
      <x:c r="X6" s="1">
        <x:v>0</x:v>
      </x:c>
      <x:c r="Y6" s="1">
        <x:v>0</x:v>
      </x:c>
      <x:c r="Z6" s="1" t="s">
        <x:v>136</x:v>
      </x:c>
      <x:c r="AA6" s="1" t="s">
        <x:v>136</x:v>
      </x:c>
      <x:c r="AB6" s="1" t="s">
        <x:v>136</x:v>
      </x:c>
      <x:c r="AC6" s="1" t="s">
        <x:v>138</x:v>
      </x:c>
    </x:row>
    <x:row r="7" ht="55.04999923706055" customHeight="1">
      <x:c r="A7" s="1" t="s">
        <x:v>8</x:v>
      </x:c>
      <x:c r="B7" s="1" t="str">
        <x:v>Scenario 006</x:v>
      </x:c>
      <x:c r="C7" s="1" t="str">
        <x:v>Synthetic domain-informed scenario</x:v>
      </x:c>
      <x:c r="D7" s="1">
        <x:v>26</x:v>
      </x:c>
      <x:c r="E7" s="1">
        <x:v>64185</x:v>
      </x:c>
      <x:c r="F7" s="1">
        <x:v>500</x:v>
      </x:c>
      <x:c r="G7" s="1" t="s">
        <x:v>146</x:v>
      </x:c>
      <x:c r="H7" s="1" t="s">
        <x:v>147</x:v>
      </x:c>
      <x:c r="I7" s="1" t="s">
        <x:v>141</x:v>
      </x:c>
      <x:c r="J7" s="1" t="s">
        <x:v>7</x:v>
      </x:c>
      <x:c r="K7" s="1" t="s">
        <x:v>3</x:v>
      </x:c>
      <x:c r="L7" s="1" t="s">
        <x:v>135</x:v>
      </x:c>
      <x:c r="M7" s="1" t="s">
        <x:v>3</x:v>
      </x:c>
      <x:c r="N7" s="1" t="s">
        <x:v>3</x:v>
      </x:c>
      <x:c r="O7" s="1">
        <x:v>12</x:v>
      </x:c>
      <x:c r="P7" s="1">
        <x:v>5760</x:v>
      </x:c>
      <x:c r="Q7" s="1">
        <x:v>27</x:v>
      </x:c>
      <x:c r="R7" s="4" t="b">
        <x:v>1</x:v>
      </x:c>
      <x:c r="S7" s="1">
        <x:v>1</x:v>
      </x:c>
      <x:c r="T7" s="1">
        <x:v>1</x:v>
      </x:c>
      <x:c r="U7" s="1">
        <x:v>1</x:v>
      </x:c>
      <x:c r="V7" s="1">
        <x:v>0</x:v>
      </x:c>
      <x:c r="W7" s="1">
        <x:v>0</x:v>
      </x:c>
      <x:c r="X7" s="1">
        <x:v>1</x:v>
      </x:c>
      <x:c r="Y7" s="1">
        <x:v>0</x:v>
      </x:c>
      <x:c r="Z7" s="1" t="s">
        <x:v>136</x:v>
      </x:c>
      <x:c r="AA7" s="1" t="s">
        <x:v>136</x:v>
      </x:c>
      <x:c r="AB7" s="1" t="s">
        <x:v>137</x:v>
      </x:c>
      <x:c r="AC7" s="1" t="s">
        <x:v>138</x:v>
      </x:c>
    </x:row>
    <x:row r="8" ht="55.04999923706055" customHeight="1">
      <x:c r="A8" s="1" t="s">
        <x:v>9</x:v>
      </x:c>
      <x:c r="B8" s="1" t="str">
        <x:v>Scenario 007</x:v>
      </x:c>
      <x:c r="C8" s="1" t="str">
        <x:v>Synthetic domain-informed scenario</x:v>
      </x:c>
      <x:c r="D8" s="1">
        <x:v>37</x:v>
      </x:c>
      <x:c r="E8" s="1">
        <x:v>148911</x:v>
      </x:c>
      <x:c r="F8" s="1">
        <x:v>2000</x:v>
      </x:c>
      <x:c r="G8" s="1" t="s">
        <x:v>143</x:v>
      </x:c>
      <x:c r="H8" s="1" t="s">
        <x:v>144</x:v>
      </x:c>
      <x:c r="I8" s="1" t="s">
        <x:v>134</x:v>
      </x:c>
      <x:c r="J8" s="1" t="s">
        <x:v>7</x:v>
      </x:c>
      <x:c r="K8" s="1" t="s">
        <x:v>1</x:v>
      </x:c>
      <x:c r="L8" s="1" t="s">
        <x:v>145</x:v>
      </x:c>
      <x:c r="M8" s="1" t="s">
        <x:v>7</x:v>
      </x:c>
      <x:c r="N8" s="1" t="s">
        <x:v>7</x:v>
      </x:c>
      <x:c r="O8" s="1">
        <x:v>7</x:v>
      </x:c>
      <x:c r="P8" s="1">
        <x:v>3360</x:v>
      </x:c>
      <x:c r="Q8" s="1">
        <x:v>24</x:v>
      </x:c>
      <x:c r="R8" s="4" t="b">
        <x:v>1</x:v>
      </x:c>
      <x:c r="S8" s="1">
        <x:v>0</x:v>
      </x:c>
      <x:c r="T8" s="1">
        <x:v>0</x:v>
      </x:c>
      <x:c r="U8" s="1">
        <x:v>0</x:v>
      </x:c>
      <x:c r="V8" s="1">
        <x:v>0</x:v>
      </x:c>
      <x:c r="W8" s="1">
        <x:v>1</x:v>
      </x:c>
      <x:c r="X8" s="1">
        <x:v>0</x:v>
      </x:c>
      <x:c r="Y8" s="1">
        <x:v>0</x:v>
      </x:c>
      <x:c r="Z8" s="1" t="s">
        <x:v>136</x:v>
      </x:c>
      <x:c r="AA8" s="1" t="s">
        <x:v>136</x:v>
      </x:c>
      <x:c r="AB8" s="1" t="s">
        <x:v>136</x:v>
      </x:c>
      <x:c r="AC8" s="1" t="s">
        <x:v>138</x:v>
      </x:c>
    </x:row>
    <x:row r="9" ht="55.04999923706055" customHeight="1">
      <x:c r="A9" s="1" t="s">
        <x:v>10</x:v>
      </x:c>
      <x:c r="B9" s="1" t="str">
        <x:v>Scenario 008</x:v>
      </x:c>
      <x:c r="C9" s="1" t="str">
        <x:v>Synthetic domain-informed scenario</x:v>
      </x:c>
      <x:c r="D9" s="1">
        <x:v>19</x:v>
      </x:c>
      <x:c r="E9" s="1">
        <x:v>73897</x:v>
      </x:c>
      <x:c r="F9" s="1">
        <x:v>1400</x:v>
      </x:c>
      <x:c r="G9" s="1" t="s">
        <x:v>143</x:v>
      </x:c>
      <x:c r="H9" s="1" t="s">
        <x:v>144</x:v>
      </x:c>
      <x:c r="I9" s="1" t="s">
        <x:v>142</x:v>
      </x:c>
      <x:c r="J9" s="1" t="s">
        <x:v>7</x:v>
      </x:c>
      <x:c r="K9" s="1" t="s">
        <x:v>1</x:v>
      </x:c>
      <x:c r="L9" s="1" t="s">
        <x:v>145</x:v>
      </x:c>
      <x:c r="M9" s="1" t="s">
        <x:v>7</x:v>
      </x:c>
      <x:c r="N9" s="1" t="s">
        <x:v>7</x:v>
      </x:c>
      <x:c r="O9" s="1">
        <x:v>6</x:v>
      </x:c>
      <x:c r="P9" s="1">
        <x:v>2880</x:v>
      </x:c>
      <x:c r="Q9" s="1">
        <x:v>23</x:v>
      </x:c>
      <x:c r="R9" s="4" t="b">
        <x:v>1</x:v>
      </x:c>
      <x:c r="S9" s="1">
        <x:v>0</x:v>
      </x:c>
      <x:c r="T9" s="1">
        <x:v>0</x:v>
      </x:c>
      <x:c r="U9" s="1">
        <x:v>0</x:v>
      </x:c>
      <x:c r="V9" s="1">
        <x:v>0</x:v>
      </x:c>
      <x:c r="W9" s="1">
        <x:v>1</x:v>
      </x:c>
      <x:c r="X9" s="1">
        <x:v>0</x:v>
      </x:c>
      <x:c r="Y9" s="1">
        <x:v>0</x:v>
      </x:c>
      <x:c r="Z9" s="1" t="s">
        <x:v>136</x:v>
      </x:c>
      <x:c r="AA9" s="1" t="s">
        <x:v>136</x:v>
      </x:c>
      <x:c r="AB9" s="1" t="s">
        <x:v>136</x:v>
      </x:c>
      <x:c r="AC9" s="1" t="s">
        <x:v>138</x:v>
      </x:c>
    </x:row>
    <x:row r="10" ht="55.04999923706055" customHeight="1">
      <x:c r="A10" s="1" t="s">
        <x:v>11</x:v>
      </x:c>
      <x:c r="B10" s="1" t="str">
        <x:v>Scenario 009</x:v>
      </x:c>
      <x:c r="C10" s="1" t="str">
        <x:v>Synthetic domain-informed scenario</x:v>
      </x:c>
      <x:c r="D10" s="1">
        <x:v>18</x:v>
      </x:c>
      <x:c r="E10" s="1">
        <x:v>60964</x:v>
      </x:c>
      <x:c r="F10" s="1">
        <x:v>800</x:v>
      </x:c>
      <x:c r="G10" s="1" t="s">
        <x:v>143</x:v>
      </x:c>
      <x:c r="H10" s="1" t="s">
        <x:v>144</x:v>
      </x:c>
      <x:c r="I10" s="1" t="s">
        <x:v>134</x:v>
      </x:c>
      <x:c r="J10" s="1" t="s">
        <x:v>7</x:v>
      </x:c>
      <x:c r="K10" s="1" t="s">
        <x:v>1</x:v>
      </x:c>
      <x:c r="L10" s="1" t="s">
        <x:v>145</x:v>
      </x:c>
      <x:c r="M10" s="1" t="s">
        <x:v>7</x:v>
      </x:c>
      <x:c r="N10" s="1" t="s">
        <x:v>7</x:v>
      </x:c>
      <x:c r="O10" s="1">
        <x:v>5</x:v>
      </x:c>
      <x:c r="P10" s="1">
        <x:v>2400</x:v>
      </x:c>
      <x:c r="Q10" s="1">
        <x:v>37</x:v>
      </x:c>
      <x:c r="R10" s="4" t="b">
        <x:v>1</x:v>
      </x:c>
      <x:c r="S10" s="1">
        <x:v>0</x:v>
      </x:c>
      <x:c r="T10" s="1">
        <x:v>0</x:v>
      </x:c>
      <x:c r="U10" s="1">
        <x:v>0</x:v>
      </x:c>
      <x:c r="V10" s="1">
        <x:v>0</x:v>
      </x:c>
      <x:c r="W10" s="1">
        <x:v>1</x:v>
      </x:c>
      <x:c r="X10" s="1">
        <x:v>0</x:v>
      </x:c>
      <x:c r="Y10" s="1">
        <x:v>0</x:v>
      </x:c>
      <x:c r="Z10" s="1" t="s">
        <x:v>136</x:v>
      </x:c>
      <x:c r="AA10" s="1" t="s">
        <x:v>136</x:v>
      </x:c>
      <x:c r="AB10" s="1" t="s">
        <x:v>136</x:v>
      </x:c>
      <x:c r="AC10" s="1" t="s">
        <x:v>138</x:v>
      </x:c>
    </x:row>
    <x:row r="11" ht="55.04999923706055" customHeight="1">
      <x:c r="A11" s="1" t="s">
        <x:v>12</x:v>
      </x:c>
      <x:c r="B11" s="1" t="str">
        <x:v>Scenario 010</x:v>
      </x:c>
      <x:c r="C11" s="1" t="str">
        <x:v>Synthetic domain-informed scenario</x:v>
      </x:c>
      <x:c r="D11" s="1">
        <x:v>44</x:v>
      </x:c>
      <x:c r="E11" s="1">
        <x:v>173659</x:v>
      </x:c>
      <x:c r="F11" s="1">
        <x:v>1182</x:v>
      </x:c>
      <x:c r="G11" s="1" t="s">
        <x:v>143</x:v>
      </x:c>
      <x:c r="H11" s="1" t="s">
        <x:v>144</x:v>
      </x:c>
      <x:c r="I11" s="1" t="s">
        <x:v>141</x:v>
      </x:c>
      <x:c r="J11" s="1" t="s">
        <x:v>7</x:v>
      </x:c>
      <x:c r="K11" s="1" t="s">
        <x:v>1</x:v>
      </x:c>
      <x:c r="L11" s="1" t="s">
        <x:v>145</x:v>
      </x:c>
      <x:c r="M11" s="1" t="s">
        <x:v>7</x:v>
      </x:c>
      <x:c r="N11" s="1" t="s">
        <x:v>1</x:v>
      </x:c>
      <x:c r="O11" s="1">
        <x:v>6</x:v>
      </x:c>
      <x:c r="P11" s="1">
        <x:v>2880</x:v>
      </x:c>
      <x:c r="Q11" s="1">
        <x:v>22</x:v>
      </x:c>
      <x:c r="R11" s="4" t="b">
        <x:v>0</x:v>
      </x:c>
      <x:c r="S11" s="1">
        <x:v>0</x:v>
      </x:c>
      <x:c r="T11" s="1">
        <x:v>0</x:v>
      </x:c>
      <x:c r="U11" s="1">
        <x:v>0</x:v>
      </x:c>
      <x:c r="V11" s="1">
        <x:v>0</x:v>
      </x:c>
      <x:c r="W11" s="1">
        <x:v>1</x:v>
      </x:c>
      <x:c r="X11" s="1">
        <x:v>0</x:v>
      </x:c>
      <x:c r="Y11" s="1">
        <x:v>0</x:v>
      </x:c>
      <x:c r="Z11" s="1" t="s">
        <x:v>136</x:v>
      </x:c>
      <x:c r="AA11" s="1" t="s">
        <x:v>136</x:v>
      </x:c>
      <x:c r="AB11" s="1" t="s">
        <x:v>136</x:v>
      </x:c>
      <x:c r="AC11" s="1" t="s">
        <x:v>138</x:v>
      </x:c>
    </x:row>
    <x:row r="12" ht="55.04999923706055" customHeight="1">
      <x:c r="A12" s="1" t="s">
        <x:v>13</x:v>
      </x:c>
      <x:c r="B12" s="1" t="str">
        <x:v>Scenario 011</x:v>
      </x:c>
      <x:c r="C12" s="1" t="str">
        <x:v>Synthetic domain-informed scenario</x:v>
      </x:c>
      <x:c r="D12" s="1">
        <x:v>138</x:v>
      </x:c>
      <x:c r="E12" s="1">
        <x:v>433000</x:v>
      </x:c>
      <x:c r="F12" s="1">
        <x:v>1542</x:v>
      </x:c>
      <x:c r="G12" s="1" t="s">
        <x:v>146</x:v>
      </x:c>
      <x:c r="H12" s="1" t="s">
        <x:v>148</x:v>
      </x:c>
      <x:c r="I12" s="1" t="s">
        <x:v>142</x:v>
      </x:c>
      <x:c r="J12" s="1" t="s">
        <x:v>7</x:v>
      </x:c>
      <x:c r="K12" s="1" t="s">
        <x:v>3</x:v>
      </x:c>
      <x:c r="L12" s="1" t="s">
        <x:v>135</x:v>
      </x:c>
      <x:c r="M12" s="1" t="s">
        <x:v>3</x:v>
      </x:c>
      <x:c r="N12" s="1" t="s">
        <x:v>3</x:v>
      </x:c>
      <x:c r="O12" s="1">
        <x:v>17</x:v>
      </x:c>
      <x:c r="P12" s="1">
        <x:v>8160</x:v>
      </x:c>
      <x:c r="Q12" s="1">
        <x:v>37</x:v>
      </x:c>
      <x:c r="R12" s="4" t="b">
        <x:v>1</x:v>
      </x:c>
      <x:c r="S12" s="1">
        <x:v>1</x:v>
      </x:c>
      <x:c r="T12" s="1">
        <x:v>1</x:v>
      </x:c>
      <x:c r="U12" s="1">
        <x:v>1</x:v>
      </x:c>
      <x:c r="V12" s="1">
        <x:v>0</x:v>
      </x:c>
      <x:c r="W12" s="1">
        <x:v>0</x:v>
      </x:c>
      <x:c r="X12" s="1">
        <x:v>1</x:v>
      </x:c>
      <x:c r="Y12" s="1">
        <x:v>0</x:v>
      </x:c>
      <x:c r="Z12" s="1" t="s">
        <x:v>136</x:v>
      </x:c>
      <x:c r="AA12" s="1" t="s">
        <x:v>136</x:v>
      </x:c>
      <x:c r="AB12" s="1" t="s">
        <x:v>137</x:v>
      </x:c>
      <x:c r="AC12" s="1" t="s">
        <x:v>138</x:v>
      </x:c>
    </x:row>
    <x:row r="13" ht="55.04999923706055" customHeight="1">
      <x:c r="A13" s="1" t="s">
        <x:v>14</x:v>
      </x:c>
      <x:c r="B13" s="1" t="str">
        <x:v>Scenario 012</x:v>
      </x:c>
      <x:c r="C13" s="1" t="str">
        <x:v>Synthetic domain-informed scenario</x:v>
      </x:c>
      <x:c r="D13" s="1">
        <x:v>15</x:v>
      </x:c>
      <x:c r="E13" s="1">
        <x:v>121000</x:v>
      </x:c>
      <x:c r="F13" s="1">
        <x:v>405</x:v>
      </x:c>
      <x:c r="G13" s="1" t="s">
        <x:v>149</x:v>
      </x:c>
      <x:c r="H13" s="1" t="s">
        <x:v>150</x:v>
      </x:c>
      <x:c r="I13" s="1" t="s">
        <x:v>151</x:v>
      </x:c>
      <x:c r="J13" s="1" t="s">
        <x:v>3</x:v>
      </x:c>
      <x:c r="K13" s="1" t="s">
        <x:v>3</x:v>
      </x:c>
      <x:c r="L13" s="1" t="s">
        <x:v>135</x:v>
      </x:c>
      <x:c r="M13" s="1" t="s">
        <x:v>3</x:v>
      </x:c>
      <x:c r="N13" s="1" t="s">
        <x:v>1</x:v>
      </x:c>
      <x:c r="O13" s="1">
        <x:v>11</x:v>
      </x:c>
      <x:c r="P13" s="1">
        <x:v>5280</x:v>
      </x:c>
      <x:c r="Q13" s="1">
        <x:v>21</x:v>
      </x:c>
      <x:c r="R13" s="4" t="b">
        <x:v>0</x:v>
      </x:c>
      <x:c r="S13" s="1">
        <x:v>1</x:v>
      </x:c>
      <x:c r="T13" s="1">
        <x:v>1</x:v>
      </x:c>
      <x:c r="U13" s="1">
        <x:v>0</x:v>
      </x:c>
      <x:c r="V13" s="1">
        <x:v>0</x:v>
      </x:c>
      <x:c r="W13" s="1">
        <x:v>0</x:v>
      </x:c>
      <x:c r="X13" s="1">
        <x:v>0</x:v>
      </x:c>
      <x:c r="Y13" s="1">
        <x:v>0</x:v>
      </x:c>
      <x:c r="Z13" s="1" t="s">
        <x:v>136</x:v>
      </x:c>
      <x:c r="AA13" s="1" t="s">
        <x:v>136</x:v>
      </x:c>
      <x:c r="AB13" s="1" t="s">
        <x:v>137</x:v>
      </x:c>
      <x:c r="AC13" s="1" t="s">
        <x:v>138</x:v>
      </x:c>
    </x:row>
    <x:row r="14" ht="55.04999923706055" customHeight="1">
      <x:c r="A14" s="1" t="s">
        <x:v>15</x:v>
      </x:c>
      <x:c r="B14" s="1" t="str">
        <x:v>Scenario 013</x:v>
      </x:c>
      <x:c r="C14" s="1" t="str">
        <x:v>Synthetic domain-informed scenario</x:v>
      </x:c>
      <x:c r="D14" s="1">
        <x:v>70</x:v>
      </x:c>
      <x:c r="E14" s="1">
        <x:v>2192000</x:v>
      </x:c>
      <x:c r="F14" s="1">
        <x:v>6297</x:v>
      </x:c>
      <x:c r="G14" s="1" t="s">
        <x:v>139</x:v>
      </x:c>
      <x:c r="H14" s="1" t="s">
        <x:v>140</x:v>
      </x:c>
      <x:c r="I14" s="1" t="s">
        <x:v>141</x:v>
      </x:c>
      <x:c r="J14" s="1" t="s">
        <x:v>3</x:v>
      </x:c>
      <x:c r="K14" s="1" t="s">
        <x:v>3</x:v>
      </x:c>
      <x:c r="L14" s="1" t="s">
        <x:v>145</x:v>
      </x:c>
      <x:c r="M14" s="1" t="s">
        <x:v>3</x:v>
      </x:c>
      <x:c r="N14" s="1" t="s">
        <x:v>3</x:v>
      </x:c>
      <x:c r="O14" s="1">
        <x:v>19</x:v>
      </x:c>
      <x:c r="P14" s="1">
        <x:v>9120</x:v>
      </x:c>
      <x:c r="Q14" s="1">
        <x:v>23</x:v>
      </x:c>
      <x:c r="R14" s="4" t="b">
        <x:v>1</x:v>
      </x:c>
      <x:c r="S14" s="1">
        <x:v>1</x:v>
      </x:c>
      <x:c r="T14" s="1">
        <x:v>0</x:v>
      </x:c>
      <x:c r="U14" s="1">
        <x:v>0</x:v>
      </x:c>
      <x:c r="V14" s="1">
        <x:v>0</x:v>
      </x:c>
      <x:c r="W14" s="1">
        <x:v>1</x:v>
      </x:c>
      <x:c r="X14" s="1">
        <x:v>0</x:v>
      </x:c>
      <x:c r="Y14" s="1">
        <x:v>0</x:v>
      </x:c>
      <x:c r="Z14" s="1" t="s">
        <x:v>136</x:v>
      </x:c>
      <x:c r="AA14" s="1" t="s">
        <x:v>136</x:v>
      </x:c>
      <x:c r="AB14" s="1" t="s">
        <x:v>137</x:v>
      </x:c>
      <x:c r="AC14" s="1" t="s">
        <x:v>138</x:v>
      </x:c>
    </x:row>
    <x:row r="15" ht="55.04999923706055" customHeight="1">
      <x:c r="A15" s="1" t="s">
        <x:v>16</x:v>
      </x:c>
      <x:c r="B15" s="1" t="str">
        <x:v>Scenario 014</x:v>
      </x:c>
      <x:c r="C15" s="1" t="str">
        <x:v>Synthetic domain-informed scenario</x:v>
      </x:c>
      <x:c r="D15" s="1">
        <x:v>10</x:v>
      </x:c>
      <x:c r="E15" s="1">
        <x:v>40000</x:v>
      </x:c>
      <x:c r="F15" s="1">
        <x:v>1106</x:v>
      </x:c>
      <x:c r="G15" s="1" t="s">
        <x:v>149</x:v>
      </x:c>
      <x:c r="H15" s="1" t="s">
        <x:v>150</x:v>
      </x:c>
      <x:c r="I15" s="1" t="s">
        <x:v>142</x:v>
      </x:c>
      <x:c r="J15" s="1" t="s">
        <x:v>7</x:v>
      </x:c>
      <x:c r="K15" s="1" t="s">
        <x:v>1</x:v>
      </x:c>
      <x:c r="L15" s="1" t="s">
        <x:v>135</x:v>
      </x:c>
      <x:c r="M15" s="1" t="s">
        <x:v>1</x:v>
      </x:c>
      <x:c r="N15" s="1" t="s">
        <x:v>1</x:v>
      </x:c>
      <x:c r="O15" s="1">
        <x:v>8</x:v>
      </x:c>
      <x:c r="P15" s="1">
        <x:v>3840</x:v>
      </x:c>
      <x:c r="Q15" s="1">
        <x:v>36</x:v>
      </x:c>
      <x:c r="R15" s="4" t="b">
        <x:v>1</x:v>
      </x:c>
      <x:c r="S15" s="1">
        <x:v>1</x:v>
      </x:c>
      <x:c r="T15" s="1">
        <x:v>1</x:v>
      </x:c>
      <x:c r="U15" s="1">
        <x:v>0</x:v>
      </x:c>
      <x:c r="V15" s="1">
        <x:v>0</x:v>
      </x:c>
      <x:c r="W15" s="1">
        <x:v>0</x:v>
      </x:c>
      <x:c r="X15" s="1">
        <x:v>0</x:v>
      </x:c>
      <x:c r="Y15" s="1">
        <x:v>0</x:v>
      </x:c>
      <x:c r="Z15" s="1" t="s">
        <x:v>136</x:v>
      </x:c>
      <x:c r="AA15" s="1" t="s">
        <x:v>136</x:v>
      </x:c>
      <x:c r="AB15" s="1" t="s">
        <x:v>137</x:v>
      </x:c>
      <x:c r="AC15" s="1" t="s">
        <x:v>138</x:v>
      </x:c>
    </x:row>
    <x:row r="16" ht="55.04999923706055" customHeight="1">
      <x:c r="A16" s="1" t="s">
        <x:v>17</x:v>
      </x:c>
      <x:c r="B16" s="1" t="str">
        <x:v>Scenario 015</x:v>
      </x:c>
      <x:c r="C16" s="1" t="str">
        <x:v>Synthetic domain-informed scenario</x:v>
      </x:c>
      <x:c r="D16" s="1">
        <x:v>47</x:v>
      </x:c>
      <x:c r="E16" s="1">
        <x:v>2664000</x:v>
      </x:c>
      <x:c r="F16" s="1">
        <x:v>6969</x:v>
      </x:c>
      <x:c r="G16" s="1" t="s">
        <x:v>152</x:v>
      </x:c>
      <x:c r="H16" s="1" t="s">
        <x:v>144</x:v>
      </x:c>
      <x:c r="I16" s="1" t="s">
        <x:v>142</x:v>
      </x:c>
      <x:c r="J16" s="1" t="s">
        <x:v>3</x:v>
      </x:c>
      <x:c r="K16" s="1" t="s">
        <x:v>3</x:v>
      </x:c>
      <x:c r="L16" s="1" t="s">
        <x:v>145</x:v>
      </x:c>
      <x:c r="M16" s="1" t="s">
        <x:v>3</x:v>
      </x:c>
      <x:c r="N16" s="1" t="s">
        <x:v>3</x:v>
      </x:c>
      <x:c r="O16" s="1">
        <x:v>16</x:v>
      </x:c>
      <x:c r="P16" s="1">
        <x:v>7680</x:v>
      </x:c>
      <x:c r="Q16" s="1">
        <x:v>39</x:v>
      </x:c>
      <x:c r="R16" s="4" t="b">
        <x:v>1</x:v>
      </x:c>
      <x:c r="S16" s="1">
        <x:v>0</x:v>
      </x:c>
      <x:c r="T16" s="1">
        <x:v>0</x:v>
      </x:c>
      <x:c r="U16" s="1">
        <x:v>0</x:v>
      </x:c>
      <x:c r="V16" s="1">
        <x:v>0</x:v>
      </x:c>
      <x:c r="W16" s="1">
        <x:v>1</x:v>
      </x:c>
      <x:c r="X16" s="1">
        <x:v>0</x:v>
      </x:c>
      <x:c r="Y16" s="1">
        <x:v>0</x:v>
      </x:c>
      <x:c r="Z16" s="1" t="s">
        <x:v>136</x:v>
      </x:c>
      <x:c r="AA16" s="1" t="s">
        <x:v>136</x:v>
      </x:c>
      <x:c r="AB16" s="1" t="s">
        <x:v>136</x:v>
      </x:c>
      <x:c r="AC16" s="1" t="s">
        <x:v>138</x:v>
      </x:c>
    </x:row>
    <x:row r="17" ht="55.04999923706055" customHeight="1">
      <x:c r="A17" s="1" t="s">
        <x:v>18</x:v>
      </x:c>
      <x:c r="B17" s="1" t="str">
        <x:v>Scenario 016</x:v>
      </x:c>
      <x:c r="C17" s="1" t="str">
        <x:v>Synthetic domain-informed scenario</x:v>
      </x:c>
      <x:c r="D17" s="1">
        <x:v>17</x:v>
      </x:c>
      <x:c r="E17" s="1">
        <x:v>45000</x:v>
      </x:c>
      <x:c r="F17" s="1">
        <x:v>575</x:v>
      </x:c>
      <x:c r="G17" s="1" t="s">
        <x:v>132</x:v>
      </x:c>
      <x:c r="H17" s="1" t="s">
        <x:v>133</x:v>
      </x:c>
      <x:c r="I17" s="1" t="s">
        <x:v>134</x:v>
      </x:c>
      <x:c r="J17" s="1" t="s">
        <x:v>7</x:v>
      </x:c>
      <x:c r="K17" s="1" t="s">
        <x:v>1</x:v>
      </x:c>
      <x:c r="L17" s="1" t="s">
        <x:v>145</x:v>
      </x:c>
      <x:c r="M17" s="1" t="s">
        <x:v>7</x:v>
      </x:c>
      <x:c r="N17" s="1" t="s">
        <x:v>7</x:v>
      </x:c>
      <x:c r="O17" s="1">
        <x:v>7</x:v>
      </x:c>
      <x:c r="P17" s="1">
        <x:v>3360</x:v>
      </x:c>
      <x:c r="Q17" s="1">
        <x:v>35</x:v>
      </x:c>
      <x:c r="R17" s="4" t="b">
        <x:v>1</x:v>
      </x:c>
      <x:c r="S17" s="1">
        <x:v>1</x:v>
      </x:c>
      <x:c r="T17" s="1">
        <x:v>1</x:v>
      </x:c>
      <x:c r="U17" s="1">
        <x:v>0</x:v>
      </x:c>
      <x:c r="V17" s="1">
        <x:v>0</x:v>
      </x:c>
      <x:c r="W17" s="1">
        <x:v>1</x:v>
      </x:c>
      <x:c r="X17" s="1">
        <x:v>0</x:v>
      </x:c>
      <x:c r="Y17" s="1">
        <x:v>0</x:v>
      </x:c>
      <x:c r="Z17" s="1" t="s">
        <x:v>136</x:v>
      </x:c>
      <x:c r="AA17" s="1" t="s">
        <x:v>136</x:v>
      </x:c>
      <x:c r="AB17" s="1" t="s">
        <x:v>137</x:v>
      </x:c>
      <x:c r="AC17" s="1" t="s">
        <x:v>138</x:v>
      </x:c>
    </x:row>
    <x:row r="18" ht="55.04999923706055" customHeight="1">
      <x:c r="A18" s="1" t="s">
        <x:v>19</x:v>
      </x:c>
      <x:c r="B18" s="1" t="str">
        <x:v>Scenario 017</x:v>
      </x:c>
      <x:c r="C18" s="1" t="str">
        <x:v>Synthetic domain-informed scenario</x:v>
      </x:c>
      <x:c r="D18" s="1">
        <x:v>49</x:v>
      </x:c>
      <x:c r="E18" s="1">
        <x:v>1998000</x:v>
      </x:c>
      <x:c r="F18" s="1">
        <x:v>7602</x:v>
      </x:c>
      <x:c r="G18" s="1" t="s">
        <x:v>146</x:v>
      </x:c>
      <x:c r="H18" s="1" t="s">
        <x:v>148</x:v>
      </x:c>
      <x:c r="I18" s="1" t="s">
        <x:v>141</x:v>
      </x:c>
      <x:c r="J18" s="1" t="s">
        <x:v>7</x:v>
      </x:c>
      <x:c r="K18" s="1" t="s">
        <x:v>3</x:v>
      </x:c>
      <x:c r="L18" s="1" t="s">
        <x:v>135</x:v>
      </x:c>
      <x:c r="M18" s="1" t="s">
        <x:v>3</x:v>
      </x:c>
      <x:c r="N18" s="1" t="s">
        <x:v>3</x:v>
      </x:c>
      <x:c r="O18" s="1">
        <x:v>17</x:v>
      </x:c>
      <x:c r="P18" s="1">
        <x:v>8160</x:v>
      </x:c>
      <x:c r="Q18" s="1">
        <x:v>29</x:v>
      </x:c>
      <x:c r="R18" s="4" t="b">
        <x:v>1</x:v>
      </x:c>
      <x:c r="S18" s="1">
        <x:v>1</x:v>
      </x:c>
      <x:c r="T18" s="1">
        <x:v>1</x:v>
      </x:c>
      <x:c r="U18" s="1">
        <x:v>1</x:v>
      </x:c>
      <x:c r="V18" s="1">
        <x:v>0</x:v>
      </x:c>
      <x:c r="W18" s="1">
        <x:v>0</x:v>
      </x:c>
      <x:c r="X18" s="1">
        <x:v>1</x:v>
      </x:c>
      <x:c r="Y18" s="1">
        <x:v>0</x:v>
      </x:c>
      <x:c r="Z18" s="1" t="s">
        <x:v>136</x:v>
      </x:c>
      <x:c r="AA18" s="1" t="s">
        <x:v>136</x:v>
      </x:c>
      <x:c r="AB18" s="1" t="s">
        <x:v>137</x:v>
      </x:c>
      <x:c r="AC18" s="1" t="s">
        <x:v>138</x:v>
      </x:c>
    </x:row>
    <x:row r="19" ht="55.04999923706055" customHeight="1">
      <x:c r="A19" s="1" t="s">
        <x:v>20</x:v>
      </x:c>
      <x:c r="B19" s="1" t="str">
        <x:v>Scenario 018</x:v>
      </x:c>
      <x:c r="C19" s="1" t="str">
        <x:v>Synthetic domain-informed scenario</x:v>
      </x:c>
      <x:c r="D19" s="1">
        <x:v>20</x:v>
      </x:c>
      <x:c r="E19" s="1">
        <x:v>101000</x:v>
      </x:c>
      <x:c r="F19" s="1">
        <x:v>1614</x:v>
      </x:c>
      <x:c r="G19" s="1" t="s">
        <x:v>152</x:v>
      </x:c>
      <x:c r="H19" s="1" t="s">
        <x:v>144</x:v>
      </x:c>
      <x:c r="I19" s="1" t="s">
        <x:v>142</x:v>
      </x:c>
      <x:c r="J19" s="1" t="s">
        <x:v>3</x:v>
      </x:c>
      <x:c r="K19" s="1" t="s">
        <x:v>3</x:v>
      </x:c>
      <x:c r="L19" s="1" t="s">
        <x:v>135</x:v>
      </x:c>
      <x:c r="M19" s="1" t="s">
        <x:v>3</x:v>
      </x:c>
      <x:c r="N19" s="1" t="s">
        <x:v>3</x:v>
      </x:c>
      <x:c r="O19" s="1">
        <x:v>12</x:v>
      </x:c>
      <x:c r="P19" s="1">
        <x:v>5760</x:v>
      </x:c>
      <x:c r="Q19" s="1">
        <x:v>38</x:v>
      </x:c>
      <x:c r="R19" s="4" t="b">
        <x:v>1</x:v>
      </x:c>
      <x:c r="S19" s="1">
        <x:v>0</x:v>
      </x:c>
      <x:c r="T19" s="1">
        <x:v>0</x:v>
      </x:c>
      <x:c r="U19" s="1">
        <x:v>0</x:v>
      </x:c>
      <x:c r="V19" s="1">
        <x:v>0</x:v>
      </x:c>
      <x:c r="W19" s="1">
        <x:v>1</x:v>
      </x:c>
      <x:c r="X19" s="1">
        <x:v>0</x:v>
      </x:c>
      <x:c r="Y19" s="1">
        <x:v>0</x:v>
      </x:c>
      <x:c r="Z19" s="1" t="s">
        <x:v>136</x:v>
      </x:c>
      <x:c r="AA19" s="1" t="s">
        <x:v>136</x:v>
      </x:c>
      <x:c r="AB19" s="1" t="s">
        <x:v>136</x:v>
      </x:c>
      <x:c r="AC19" s="1" t="s">
        <x:v>138</x:v>
      </x:c>
    </x:row>
    <x:row r="20" ht="55.04999923706055" customHeight="1">
      <x:c r="A20" s="1" t="s">
        <x:v>21</x:v>
      </x:c>
      <x:c r="B20" s="1" t="str">
        <x:v>Scenario 019</x:v>
      </x:c>
      <x:c r="C20" s="1" t="str">
        <x:v>Synthetic domain-informed scenario</x:v>
      </x:c>
      <x:c r="D20" s="1">
        <x:v>141</x:v>
      </x:c>
      <x:c r="E20" s="1">
        <x:v>548000</x:v>
      </x:c>
      <x:c r="F20" s="1">
        <x:v>1218</x:v>
      </x:c>
      <x:c r="G20" s="1" t="s">
        <x:v>143</x:v>
      </x:c>
      <x:c r="H20" s="1" t="s">
        <x:v>144</x:v>
      </x:c>
      <x:c r="I20" s="1" t="s">
        <x:v>134</x:v>
      </x:c>
      <x:c r="J20" s="1" t="s">
        <x:v>7</x:v>
      </x:c>
      <x:c r="K20" s="1" t="s">
        <x:v>7</x:v>
      </x:c>
      <x:c r="L20" s="1" t="s">
        <x:v>145</x:v>
      </x:c>
      <x:c r="M20" s="1" t="s">
        <x:v>1</x:v>
      </x:c>
      <x:c r="N20" s="1" t="s">
        <x:v>7</x:v>
      </x:c>
      <x:c r="O20" s="1">
        <x:v>11</x:v>
      </x:c>
      <x:c r="P20" s="1">
        <x:v>5280</x:v>
      </x:c>
      <x:c r="Q20" s="1">
        <x:v>35</x:v>
      </x:c>
      <x:c r="R20" s="4" t="b">
        <x:v>0</x:v>
      </x:c>
      <x:c r="S20" s="1">
        <x:v>0</x:v>
      </x:c>
      <x:c r="T20" s="1">
        <x:v>0</x:v>
      </x:c>
      <x:c r="U20" s="1">
        <x:v>0</x:v>
      </x:c>
      <x:c r="V20" s="1">
        <x:v>0</x:v>
      </x:c>
      <x:c r="W20" s="1">
        <x:v>1</x:v>
      </x:c>
      <x:c r="X20" s="1">
        <x:v>0</x:v>
      </x:c>
      <x:c r="Y20" s="1">
        <x:v>0</x:v>
      </x:c>
      <x:c r="Z20" s="1" t="s">
        <x:v>136</x:v>
      </x:c>
      <x:c r="AA20" s="1" t="s">
        <x:v>136</x:v>
      </x:c>
      <x:c r="AB20" s="1" t="s">
        <x:v>136</x:v>
      </x:c>
      <x:c r="AC20" s="1" t="s">
        <x:v>138</x:v>
      </x:c>
    </x:row>
    <x:row r="21" ht="55.04999923706055" customHeight="1">
      <x:c r="A21" s="1" t="s">
        <x:v>22</x:v>
      </x:c>
      <x:c r="B21" s="1" t="str">
        <x:v>Scenario 020</x:v>
      </x:c>
      <x:c r="C21" s="1" t="str">
        <x:v>Synthetic domain-informed scenario</x:v>
      </x:c>
      <x:c r="D21" s="1">
        <x:v>65</x:v>
      </x:c>
      <x:c r="E21" s="1">
        <x:v>343000</x:v>
      </x:c>
      <x:c r="F21" s="1">
        <x:v>2731</x:v>
      </x:c>
      <x:c r="G21" s="1" t="s">
        <x:v>146</x:v>
      </x:c>
      <x:c r="H21" s="1" t="s">
        <x:v>148</x:v>
      </x:c>
      <x:c r="I21" s="1" t="s">
        <x:v>141</x:v>
      </x:c>
      <x:c r="J21" s="1" t="s">
        <x:v>3</x:v>
      </x:c>
      <x:c r="K21" s="1" t="s">
        <x:v>3</x:v>
      </x:c>
      <x:c r="L21" s="1" t="s">
        <x:v>135</x:v>
      </x:c>
      <x:c r="M21" s="1" t="s">
        <x:v>3</x:v>
      </x:c>
      <x:c r="N21" s="1" t="s">
        <x:v>3</x:v>
      </x:c>
      <x:c r="O21" s="1">
        <x:v>16</x:v>
      </x:c>
      <x:c r="P21" s="1">
        <x:v>7680</x:v>
      </x:c>
      <x:c r="Q21" s="1">
        <x:v>33</x:v>
      </x:c>
      <x:c r="R21" s="4" t="b">
        <x:v>1</x:v>
      </x:c>
      <x:c r="S21" s="1">
        <x:v>1</x:v>
      </x:c>
      <x:c r="T21" s="1">
        <x:v>1</x:v>
      </x:c>
      <x:c r="U21" s="1">
        <x:v>1</x:v>
      </x:c>
      <x:c r="V21" s="1">
        <x:v>0</x:v>
      </x:c>
      <x:c r="W21" s="1">
        <x:v>0</x:v>
      </x:c>
      <x:c r="X21" s="1">
        <x:v>1</x:v>
      </x:c>
      <x:c r="Y21" s="1">
        <x:v>0</x:v>
      </x:c>
      <x:c r="Z21" s="1" t="s">
        <x:v>136</x:v>
      </x:c>
      <x:c r="AA21" s="1" t="s">
        <x:v>136</x:v>
      </x:c>
      <x:c r="AB21" s="1" t="s">
        <x:v>137</x:v>
      </x:c>
      <x:c r="AC21" s="1" t="s">
        <x:v>138</x:v>
      </x:c>
    </x:row>
    <x:row r="22" ht="55.04999923706055" customHeight="1">
      <x:c r="A22" s="1" t="s">
        <x:v>23</x:v>
      </x:c>
      <x:c r="B22" s="1" t="str">
        <x:v>Scenario 021</x:v>
      </x:c>
      <x:c r="C22" s="1" t="str">
        <x:v>Synthetic domain-informed scenario</x:v>
      </x:c>
      <x:c r="D22" s="1">
        <x:v>12</x:v>
      </x:c>
      <x:c r="E22" s="1">
        <x:v>98000</x:v>
      </x:c>
      <x:c r="F22" s="1">
        <x:v>750</x:v>
      </x:c>
      <x:c r="G22" s="1" t="s">
        <x:v>132</x:v>
      </x:c>
      <x:c r="H22" s="1" t="s">
        <x:v>133</x:v>
      </x:c>
      <x:c r="I22" s="1" t="s">
        <x:v>153</x:v>
      </x:c>
      <x:c r="J22" s="1" t="s">
        <x:v>3</x:v>
      </x:c>
      <x:c r="K22" s="1" t="s">
        <x:v>1</x:v>
      </x:c>
      <x:c r="L22" s="1" t="s">
        <x:v>145</x:v>
      </x:c>
      <x:c r="M22" s="1" t="s">
        <x:v>1</x:v>
      </x:c>
      <x:c r="N22" s="1" t="s">
        <x:v>7</x:v>
      </x:c>
      <x:c r="O22" s="1">
        <x:v>8</x:v>
      </x:c>
      <x:c r="P22" s="1">
        <x:v>3840</x:v>
      </x:c>
      <x:c r="Q22" s="1">
        <x:v>26</x:v>
      </x:c>
      <x:c r="R22" s="4" t="b">
        <x:v>0</x:v>
      </x:c>
      <x:c r="S22" s="1">
        <x:v>1</x:v>
      </x:c>
      <x:c r="T22" s="1">
        <x:v>1</x:v>
      </x:c>
      <x:c r="U22" s="1">
        <x:v>0</x:v>
      </x:c>
      <x:c r="V22" s="1">
        <x:v>0</x:v>
      </x:c>
      <x:c r="W22" s="1">
        <x:v>1</x:v>
      </x:c>
      <x:c r="X22" s="1">
        <x:v>0</x:v>
      </x:c>
      <x:c r="Y22" s="1">
        <x:v>0</x:v>
      </x:c>
      <x:c r="Z22" s="1" t="s">
        <x:v>136</x:v>
      </x:c>
      <x:c r="AA22" s="1" t="s">
        <x:v>136</x:v>
      </x:c>
      <x:c r="AB22" s="1" t="s">
        <x:v>137</x:v>
      </x:c>
      <x:c r="AC22" s="1" t="s">
        <x:v>138</x:v>
      </x:c>
    </x:row>
    <x:row r="23" ht="55.04999923706055" customHeight="1">
      <x:c r="A23" s="1" t="s">
        <x:v>24</x:v>
      </x:c>
      <x:c r="B23" s="1" t="str">
        <x:v>Scenario 022</x:v>
      </x:c>
      <x:c r="C23" s="1" t="str">
        <x:v>Synthetic domain-informed scenario</x:v>
      </x:c>
      <x:c r="D23" s="1">
        <x:v>69</x:v>
      </x:c>
      <x:c r="E23" s="1">
        <x:v>225000</x:v>
      </x:c>
      <x:c r="F23" s="1">
        <x:v>5054</x:v>
      </x:c>
      <x:c r="G23" s="1" t="s">
        <x:v>146</x:v>
      </x:c>
      <x:c r="H23" s="1" t="s">
        <x:v>148</x:v>
      </x:c>
      <x:c r="I23" s="1" t="s">
        <x:v>153</x:v>
      </x:c>
      <x:c r="J23" s="1" t="s">
        <x:v>7</x:v>
      </x:c>
      <x:c r="K23" s="1" t="s">
        <x:v>3</x:v>
      </x:c>
      <x:c r="L23" s="1" t="s">
        <x:v>135</x:v>
      </x:c>
      <x:c r="M23" s="1" t="s">
        <x:v>3</x:v>
      </x:c>
      <x:c r="N23" s="1" t="s">
        <x:v>3</x:v>
      </x:c>
      <x:c r="O23" s="1">
        <x:v>19</x:v>
      </x:c>
      <x:c r="P23" s="1">
        <x:v>9120</x:v>
      </x:c>
      <x:c r="Q23" s="1">
        <x:v>21</x:v>
      </x:c>
      <x:c r="R23" s="4" t="b">
        <x:v>1</x:v>
      </x:c>
      <x:c r="S23" s="1">
        <x:v>1</x:v>
      </x:c>
      <x:c r="T23" s="1">
        <x:v>1</x:v>
      </x:c>
      <x:c r="U23" s="1">
        <x:v>1</x:v>
      </x:c>
      <x:c r="V23" s="1">
        <x:v>0</x:v>
      </x:c>
      <x:c r="W23" s="1">
        <x:v>0</x:v>
      </x:c>
      <x:c r="X23" s="1">
        <x:v>1</x:v>
      </x:c>
      <x:c r="Y23" s="1">
        <x:v>0</x:v>
      </x:c>
      <x:c r="Z23" s="1" t="s">
        <x:v>136</x:v>
      </x:c>
      <x:c r="AA23" s="1" t="s">
        <x:v>136</x:v>
      </x:c>
      <x:c r="AB23" s="1" t="s">
        <x:v>137</x:v>
      </x:c>
      <x:c r="AC23" s="1" t="s">
        <x:v>138</x:v>
      </x:c>
    </x:row>
    <x:row r="24" ht="55.04999923706055" customHeight="1">
      <x:c r="A24" s="1" t="s">
        <x:v>25</x:v>
      </x:c>
      <x:c r="B24" s="1" t="str">
        <x:v>Scenario 023</x:v>
      </x:c>
      <x:c r="C24" s="1" t="str">
        <x:v>Synthetic domain-informed scenario</x:v>
      </x:c>
      <x:c r="D24" s="1">
        <x:v>17</x:v>
      </x:c>
      <x:c r="E24" s="1">
        <x:v>40000</x:v>
      </x:c>
      <x:c r="F24" s="1">
        <x:v>721</x:v>
      </x:c>
      <x:c r="G24" s="1" t="s">
        <x:v>143</x:v>
      </x:c>
      <x:c r="H24" s="1" t="s">
        <x:v>144</x:v>
      </x:c>
      <x:c r="I24" s="1" t="s">
        <x:v>134</x:v>
      </x:c>
      <x:c r="J24" s="1" t="s">
        <x:v>7</x:v>
      </x:c>
      <x:c r="K24" s="1" t="s">
        <x:v>7</x:v>
      </x:c>
      <x:c r="L24" s="1" t="s">
        <x:v>135</x:v>
      </x:c>
      <x:c r="M24" s="1" t="s">
        <x:v>7</x:v>
      </x:c>
      <x:c r="N24" s="1" t="s">
        <x:v>7</x:v>
      </x:c>
      <x:c r="O24" s="1">
        <x:v>5</x:v>
      </x:c>
      <x:c r="P24" s="1">
        <x:v>2400</x:v>
      </x:c>
      <x:c r="Q24" s="1">
        <x:v>32</x:v>
      </x:c>
      <x:c r="R24" s="4" t="b">
        <x:v>1</x:v>
      </x:c>
      <x:c r="S24" s="1">
        <x:v>0</x:v>
      </x:c>
      <x:c r="T24" s="1">
        <x:v>0</x:v>
      </x:c>
      <x:c r="U24" s="1">
        <x:v>0</x:v>
      </x:c>
      <x:c r="V24" s="1">
        <x:v>0</x:v>
      </x:c>
      <x:c r="W24" s="1">
        <x:v>1</x:v>
      </x:c>
      <x:c r="X24" s="1">
        <x:v>0</x:v>
      </x:c>
      <x:c r="Y24" s="1">
        <x:v>0</x:v>
      </x:c>
      <x:c r="Z24" s="1" t="s">
        <x:v>136</x:v>
      </x:c>
      <x:c r="AA24" s="1" t="s">
        <x:v>136</x:v>
      </x:c>
      <x:c r="AB24" s="1" t="s">
        <x:v>136</x:v>
      </x:c>
      <x:c r="AC24" s="1" t="s">
        <x:v>138</x:v>
      </x:c>
    </x:row>
    <x:row r="25" ht="55.04999923706055" customHeight="1">
      <x:c r="A25" s="1" t="s">
        <x:v>26</x:v>
      </x:c>
      <x:c r="B25" s="1" t="str">
        <x:v>Scenario 024</x:v>
      </x:c>
      <x:c r="C25" s="1" t="str">
        <x:v>Synthetic domain-informed scenario</x:v>
      </x:c>
      <x:c r="D25" s="1">
        <x:v>44</x:v>
      </x:c>
      <x:c r="E25" s="1">
        <x:v>174000</x:v>
      </x:c>
      <x:c r="F25" s="1">
        <x:v>752</x:v>
      </x:c>
      <x:c r="G25" s="1" t="s">
        <x:v>132</x:v>
      </x:c>
      <x:c r="H25" s="1" t="s">
        <x:v>133</x:v>
      </x:c>
      <x:c r="I25" s="1" t="s">
        <x:v>142</x:v>
      </x:c>
      <x:c r="J25" s="1" t="s">
        <x:v>3</x:v>
      </x:c>
      <x:c r="K25" s="1" t="s">
        <x:v>1</x:v>
      </x:c>
      <x:c r="L25" s="1" t="s">
        <x:v>135</x:v>
      </x:c>
      <x:c r="M25" s="1" t="s">
        <x:v>3</x:v>
      </x:c>
      <x:c r="N25" s="1" t="s">
        <x:v>3</x:v>
      </x:c>
      <x:c r="O25" s="1">
        <x:v>10</x:v>
      </x:c>
      <x:c r="P25" s="1">
        <x:v>4800</x:v>
      </x:c>
      <x:c r="Q25" s="1">
        <x:v>26</x:v>
      </x:c>
      <x:c r="R25" s="4" t="b">
        <x:v>1</x:v>
      </x:c>
      <x:c r="S25" s="1">
        <x:v>1</x:v>
      </x:c>
      <x:c r="T25" s="1">
        <x:v>1</x:v>
      </x:c>
      <x:c r="U25" s="1">
        <x:v>0</x:v>
      </x:c>
      <x:c r="V25" s="1">
        <x:v>0</x:v>
      </x:c>
      <x:c r="W25" s="1">
        <x:v>1</x:v>
      </x:c>
      <x:c r="X25" s="1">
        <x:v>0</x:v>
      </x:c>
      <x:c r="Y25" s="1">
        <x:v>0</x:v>
      </x:c>
      <x:c r="Z25" s="1" t="s">
        <x:v>136</x:v>
      </x:c>
      <x:c r="AA25" s="1" t="s">
        <x:v>136</x:v>
      </x:c>
      <x:c r="AB25" s="1" t="s">
        <x:v>137</x:v>
      </x:c>
      <x:c r="AC25" s="1" t="s">
        <x:v>138</x:v>
      </x:c>
    </x:row>
    <x:row r="26" ht="55.04999923706055" customHeight="1">
      <x:c r="A26" s="1" t="s">
        <x:v>27</x:v>
      </x:c>
      <x:c r="B26" s="1" t="str">
        <x:v>Scenario 025</x:v>
      </x:c>
      <x:c r="C26" s="1" t="str">
        <x:v>Synthetic domain-informed scenario</x:v>
      </x:c>
      <x:c r="D26" s="1">
        <x:v>49</x:v>
      </x:c>
      <x:c r="E26" s="1">
        <x:v>121000</x:v>
      </x:c>
      <x:c r="F26" s="1">
        <x:v>1423</x:v>
      </x:c>
      <x:c r="G26" s="1" t="s">
        <x:v>139</x:v>
      </x:c>
      <x:c r="H26" s="1" t="s">
        <x:v>140</x:v>
      </x:c>
      <x:c r="I26" s="1" t="s">
        <x:v>134</x:v>
      </x:c>
      <x:c r="J26" s="1" t="s">
        <x:v>3</x:v>
      </x:c>
      <x:c r="K26" s="1" t="s">
        <x:v>3</x:v>
      </x:c>
      <x:c r="L26" s="1" t="s">
        <x:v>145</x:v>
      </x:c>
      <x:c r="M26" s="1" t="s">
        <x:v>3</x:v>
      </x:c>
      <x:c r="N26" s="1" t="s">
        <x:v>1</x:v>
      </x:c>
      <x:c r="O26" s="1">
        <x:v>14</x:v>
      </x:c>
      <x:c r="P26" s="1">
        <x:v>6720</x:v>
      </x:c>
      <x:c r="Q26" s="1">
        <x:v>21</x:v>
      </x:c>
      <x:c r="R26" s="4" t="b">
        <x:v>0</x:v>
      </x:c>
      <x:c r="S26" s="1">
        <x:v>1</x:v>
      </x:c>
      <x:c r="T26" s="1">
        <x:v>0</x:v>
      </x:c>
      <x:c r="U26" s="1">
        <x:v>0</x:v>
      </x:c>
      <x:c r="V26" s="1">
        <x:v>0</x:v>
      </x:c>
      <x:c r="W26" s="1">
        <x:v>1</x:v>
      </x:c>
      <x:c r="X26" s="1">
        <x:v>0</x:v>
      </x:c>
      <x:c r="Y26" s="1">
        <x:v>0</x:v>
      </x:c>
      <x:c r="Z26" s="1" t="s">
        <x:v>136</x:v>
      </x:c>
      <x:c r="AA26" s="1" t="s">
        <x:v>136</x:v>
      </x:c>
      <x:c r="AB26" s="1" t="s">
        <x:v>137</x:v>
      </x:c>
      <x:c r="AC26" s="1" t="s">
        <x:v>138</x:v>
      </x:c>
    </x:row>
    <x:row r="27" ht="55.04999923706055" customHeight="1">
      <x:c r="A27" s="1" t="s">
        <x:v>28</x:v>
      </x:c>
      <x:c r="B27" s="1" t="str">
        <x:v>Scenario 026</x:v>
      </x:c>
      <x:c r="C27" s="1" t="str">
        <x:v>Synthetic domain-informed scenario</x:v>
      </x:c>
      <x:c r="D27" s="1">
        <x:v>21</x:v>
      </x:c>
      <x:c r="E27" s="1">
        <x:v>42000</x:v>
      </x:c>
      <x:c r="F27" s="1">
        <x:v>383</x:v>
      </x:c>
      <x:c r="G27" s="1" t="s">
        <x:v>143</x:v>
      </x:c>
      <x:c r="H27" s="1" t="s">
        <x:v>144</x:v>
      </x:c>
      <x:c r="I27" s="1" t="s">
        <x:v>141</x:v>
      </x:c>
      <x:c r="J27" s="1" t="s">
        <x:v>7</x:v>
      </x:c>
      <x:c r="K27" s="1" t="s">
        <x:v>3</x:v>
      </x:c>
      <x:c r="L27" s="1" t="s">
        <x:v>145</x:v>
      </x:c>
      <x:c r="M27" s="1" t="s">
        <x:v>3</x:v>
      </x:c>
      <x:c r="N27" s="1" t="s">
        <x:v>1</x:v>
      </x:c>
      <x:c r="O27" s="1">
        <x:v>12</x:v>
      </x:c>
      <x:c r="P27" s="1">
        <x:v>5760</x:v>
      </x:c>
      <x:c r="Q27" s="1">
        <x:v>38</x:v>
      </x:c>
      <x:c r="R27" s="4" t="b">
        <x:v>0</x:v>
      </x:c>
      <x:c r="S27" s="1">
        <x:v>0</x:v>
      </x:c>
      <x:c r="T27" s="1">
        <x:v>0</x:v>
      </x:c>
      <x:c r="U27" s="1">
        <x:v>0</x:v>
      </x:c>
      <x:c r="V27" s="1">
        <x:v>0</x:v>
      </x:c>
      <x:c r="W27" s="1">
        <x:v>1</x:v>
      </x:c>
      <x:c r="X27" s="1">
        <x:v>0</x:v>
      </x:c>
      <x:c r="Y27" s="1">
        <x:v>0</x:v>
      </x:c>
      <x:c r="Z27" s="1" t="s">
        <x:v>136</x:v>
      </x:c>
      <x:c r="AA27" s="1" t="s">
        <x:v>136</x:v>
      </x:c>
      <x:c r="AB27" s="1" t="s">
        <x:v>136</x:v>
      </x:c>
      <x:c r="AC27" s="1" t="s">
        <x:v>138</x:v>
      </x:c>
    </x:row>
    <x:row r="28" ht="55.04999923706055" customHeight="1">
      <x:c r="A28" s="1" t="s">
        <x:v>29</x:v>
      </x:c>
      <x:c r="B28" s="1" t="str">
        <x:v>Scenario 027</x:v>
      </x:c>
      <x:c r="C28" s="1" t="str">
        <x:v>Synthetic domain-informed scenario</x:v>
      </x:c>
      <x:c r="D28" s="1">
        <x:v>47</x:v>
      </x:c>
      <x:c r="E28" s="1">
        <x:v>145000</x:v>
      </x:c>
      <x:c r="F28" s="1">
        <x:v>816</x:v>
      </x:c>
      <x:c r="G28" s="1" t="s">
        <x:v>143</x:v>
      </x:c>
      <x:c r="H28" s="1" t="s">
        <x:v>144</x:v>
      </x:c>
      <x:c r="I28" s="1" t="s">
        <x:v>151</x:v>
      </x:c>
      <x:c r="J28" s="1" t="s">
        <x:v>7</x:v>
      </x:c>
      <x:c r="K28" s="1" t="s">
        <x:v>1</x:v>
      </x:c>
      <x:c r="L28" s="1" t="s">
        <x:v>135</x:v>
      </x:c>
      <x:c r="M28" s="1" t="s">
        <x:v>1</x:v>
      </x:c>
      <x:c r="N28" s="1" t="s">
        <x:v>1</x:v>
      </x:c>
      <x:c r="O28" s="1">
        <x:v>10</x:v>
      </x:c>
      <x:c r="P28" s="1">
        <x:v>4800</x:v>
      </x:c>
      <x:c r="Q28" s="1">
        <x:v>28</x:v>
      </x:c>
      <x:c r="R28" s="4" t="b">
        <x:v>1</x:v>
      </x:c>
      <x:c r="S28" s="1">
        <x:v>0</x:v>
      </x:c>
      <x:c r="T28" s="1">
        <x:v>0</x:v>
      </x:c>
      <x:c r="U28" s="1">
        <x:v>0</x:v>
      </x:c>
      <x:c r="V28" s="1">
        <x:v>0</x:v>
      </x:c>
      <x:c r="W28" s="1">
        <x:v>1</x:v>
      </x:c>
      <x:c r="X28" s="1">
        <x:v>0</x:v>
      </x:c>
      <x:c r="Y28" s="1">
        <x:v>0</x:v>
      </x:c>
      <x:c r="Z28" s="1" t="s">
        <x:v>136</x:v>
      </x:c>
      <x:c r="AA28" s="1" t="s">
        <x:v>136</x:v>
      </x:c>
      <x:c r="AB28" s="1" t="s">
        <x:v>136</x:v>
      </x:c>
      <x:c r="AC28" s="1" t="s">
        <x:v>138</x:v>
      </x:c>
    </x:row>
    <x:row r="29" ht="55.04999923706055" customHeight="1">
      <x:c r="A29" s="1" t="s">
        <x:v>30</x:v>
      </x:c>
      <x:c r="B29" s="1" t="str">
        <x:v>Scenario 028</x:v>
      </x:c>
      <x:c r="C29" s="1" t="str">
        <x:v>Synthetic domain-informed scenario</x:v>
      </x:c>
      <x:c r="D29" s="1">
        <x:v>15</x:v>
      </x:c>
      <x:c r="E29" s="1">
        <x:v>201000</x:v>
      </x:c>
      <x:c r="F29" s="1">
        <x:v>2288</x:v>
      </x:c>
      <x:c r="G29" s="1" t="s">
        <x:v>139</x:v>
      </x:c>
      <x:c r="H29" s="1" t="s">
        <x:v>140</x:v>
      </x:c>
      <x:c r="I29" s="1" t="s">
        <x:v>142</x:v>
      </x:c>
      <x:c r="J29" s="1" t="s">
        <x:v>3</x:v>
      </x:c>
      <x:c r="K29" s="1" t="s">
        <x:v>1</x:v>
      </x:c>
      <x:c r="L29" s="1" t="s">
        <x:v>145</x:v>
      </x:c>
      <x:c r="M29" s="1" t="s">
        <x:v>1</x:v>
      </x:c>
      <x:c r="N29" s="1" t="s">
        <x:v>1</x:v>
      </x:c>
      <x:c r="O29" s="1">
        <x:v>7</x:v>
      </x:c>
      <x:c r="P29" s="1">
        <x:v>3360</x:v>
      </x:c>
      <x:c r="Q29" s="1">
        <x:v>37</x:v>
      </x:c>
      <x:c r="R29" s="4" t="b">
        <x:v>1</x:v>
      </x:c>
      <x:c r="S29" s="1">
        <x:v>1</x:v>
      </x:c>
      <x:c r="T29" s="1">
        <x:v>0</x:v>
      </x:c>
      <x:c r="U29" s="1">
        <x:v>0</x:v>
      </x:c>
      <x:c r="V29" s="1">
        <x:v>0</x:v>
      </x:c>
      <x:c r="W29" s="1">
        <x:v>1</x:v>
      </x:c>
      <x:c r="X29" s="1">
        <x:v>0</x:v>
      </x:c>
      <x:c r="Y29" s="1">
        <x:v>0</x:v>
      </x:c>
      <x:c r="Z29" s="1" t="s">
        <x:v>136</x:v>
      </x:c>
      <x:c r="AA29" s="1" t="s">
        <x:v>136</x:v>
      </x:c>
      <x:c r="AB29" s="1" t="s">
        <x:v>137</x:v>
      </x:c>
      <x:c r="AC29" s="1" t="s">
        <x:v>138</x:v>
      </x:c>
    </x:row>
    <x:row r="30" ht="55.04999923706055" customHeight="1">
      <x:c r="A30" s="1" t="s">
        <x:v>31</x:v>
      </x:c>
      <x:c r="B30" s="1" t="str">
        <x:v>Scenario 029</x:v>
      </x:c>
      <x:c r="C30" s="1" t="str">
        <x:v>Synthetic domain-informed scenario</x:v>
      </x:c>
      <x:c r="D30" s="1">
        <x:v>138</x:v>
      </x:c>
      <x:c r="E30" s="1">
        <x:v>288000</x:v>
      </x:c>
      <x:c r="F30" s="1">
        <x:v>1609</x:v>
      </x:c>
      <x:c r="G30" s="1" t="s">
        <x:v>146</x:v>
      </x:c>
      <x:c r="H30" s="1" t="s">
        <x:v>148</x:v>
      </x:c>
      <x:c r="I30" s="1" t="s">
        <x:v>142</x:v>
      </x:c>
      <x:c r="J30" s="1" t="s">
        <x:v>7</x:v>
      </x:c>
      <x:c r="K30" s="1" t="s">
        <x:v>3</x:v>
      </x:c>
      <x:c r="L30" s="1" t="s">
        <x:v>135</x:v>
      </x:c>
      <x:c r="M30" s="1" t="s">
        <x:v>3</x:v>
      </x:c>
      <x:c r="N30" s="1" t="s">
        <x:v>3</x:v>
      </x:c>
      <x:c r="O30" s="1">
        <x:v>18</x:v>
      </x:c>
      <x:c r="P30" s="1">
        <x:v>8640</x:v>
      </x:c>
      <x:c r="Q30" s="1">
        <x:v>39</x:v>
      </x:c>
      <x:c r="R30" s="4" t="b">
        <x:v>1</x:v>
      </x:c>
      <x:c r="S30" s="1">
        <x:v>1</x:v>
      </x:c>
      <x:c r="T30" s="1">
        <x:v>1</x:v>
      </x:c>
      <x:c r="U30" s="1">
        <x:v>1</x:v>
      </x:c>
      <x:c r="V30" s="1">
        <x:v>0</x:v>
      </x:c>
      <x:c r="W30" s="1">
        <x:v>0</x:v>
      </x:c>
      <x:c r="X30" s="1">
        <x:v>1</x:v>
      </x:c>
      <x:c r="Y30" s="1">
        <x:v>0</x:v>
      </x:c>
      <x:c r="Z30" s="1" t="s">
        <x:v>136</x:v>
      </x:c>
      <x:c r="AA30" s="1" t="s">
        <x:v>136</x:v>
      </x:c>
      <x:c r="AB30" s="1" t="s">
        <x:v>137</x:v>
      </x:c>
      <x:c r="AC30" s="1" t="s">
        <x:v>138</x:v>
      </x:c>
    </x:row>
    <x:row r="31" ht="55.04999923706055" customHeight="1">
      <x:c r="A31" s="1" t="s">
        <x:v>32</x:v>
      </x:c>
      <x:c r="B31" s="1" t="str">
        <x:v>Scenario 030</x:v>
      </x:c>
      <x:c r="C31" s="1" t="str">
        <x:v>Synthetic domain-informed scenario</x:v>
      </x:c>
      <x:c r="D31" s="1">
        <x:v>12</x:v>
      </x:c>
      <x:c r="E31" s="1">
        <x:v>110000</x:v>
      </x:c>
      <x:c r="F31" s="1">
        <x:v>1130</x:v>
      </x:c>
      <x:c r="G31" s="1" t="s">
        <x:v>143</x:v>
      </x:c>
      <x:c r="H31" s="1" t="s">
        <x:v>144</x:v>
      </x:c>
      <x:c r="I31" s="1" t="s">
        <x:v>151</x:v>
      </x:c>
      <x:c r="J31" s="1" t="s">
        <x:v>7</x:v>
      </x:c>
      <x:c r="K31" s="1" t="s">
        <x:v>7</x:v>
      </x:c>
      <x:c r="L31" s="1" t="s">
        <x:v>145</x:v>
      </x:c>
      <x:c r="M31" s="1" t="s">
        <x:v>7</x:v>
      </x:c>
      <x:c r="N31" s="1" t="s">
        <x:v>7</x:v>
      </x:c>
      <x:c r="O31" s="1">
        <x:v>6</x:v>
      </x:c>
      <x:c r="P31" s="1">
        <x:v>2880</x:v>
      </x:c>
      <x:c r="Q31" s="1">
        <x:v>29</x:v>
      </x:c>
      <x:c r="R31" s="4" t="b">
        <x:v>1</x:v>
      </x:c>
      <x:c r="S31" s="1">
        <x:v>0</x:v>
      </x:c>
      <x:c r="T31" s="1">
        <x:v>0</x:v>
      </x:c>
      <x:c r="U31" s="1">
        <x:v>0</x:v>
      </x:c>
      <x:c r="V31" s="1">
        <x:v>0</x:v>
      </x:c>
      <x:c r="W31" s="1">
        <x:v>1</x:v>
      </x:c>
      <x:c r="X31" s="1">
        <x:v>0</x:v>
      </x:c>
      <x:c r="Y31" s="1">
        <x:v>0</x:v>
      </x:c>
      <x:c r="Z31" s="1" t="s">
        <x:v>136</x:v>
      </x:c>
      <x:c r="AA31" s="1" t="s">
        <x:v>136</x:v>
      </x:c>
      <x:c r="AB31" s="1" t="s">
        <x:v>136</x:v>
      </x:c>
      <x:c r="AC31" s="1" t="s">
        <x:v>138</x:v>
      </x:c>
    </x:row>
    <x:row r="32" ht="55.04999923706055" customHeight="1">
      <x:c r="A32" s="1" t="s">
        <x:v>33</x:v>
      </x:c>
      <x:c r="B32" s="1" t="str">
        <x:v>Scenario 031</x:v>
      </x:c>
      <x:c r="C32" s="1" t="str">
        <x:v>Synthetic domain-informed scenario</x:v>
      </x:c>
      <x:c r="D32" s="1">
        <x:v>43</x:v>
      </x:c>
      <x:c r="E32" s="1">
        <x:v>319000</x:v>
      </x:c>
      <x:c r="F32" s="1">
        <x:v>1854</x:v>
      </x:c>
      <x:c r="G32" s="1" t="s">
        <x:v>139</x:v>
      </x:c>
      <x:c r="H32" s="1" t="s">
        <x:v>140</x:v>
      </x:c>
      <x:c r="I32" s="1" t="s">
        <x:v>142</x:v>
      </x:c>
      <x:c r="J32" s="1" t="s">
        <x:v>7</x:v>
      </x:c>
      <x:c r="K32" s="1" t="s">
        <x:v>1</x:v>
      </x:c>
      <x:c r="L32" s="1" t="s">
        <x:v>135</x:v>
      </x:c>
      <x:c r="M32" s="1" t="s">
        <x:v>1</x:v>
      </x:c>
      <x:c r="N32" s="1" t="s">
        <x:v>1</x:v>
      </x:c>
      <x:c r="O32" s="1">
        <x:v>12</x:v>
      </x:c>
      <x:c r="P32" s="1">
        <x:v>5760</x:v>
      </x:c>
      <x:c r="Q32" s="1">
        <x:v>28</x:v>
      </x:c>
      <x:c r="R32" s="4" t="b">
        <x:v>1</x:v>
      </x:c>
      <x:c r="S32" s="1">
        <x:v>1</x:v>
      </x:c>
      <x:c r="T32" s="1">
        <x:v>0</x:v>
      </x:c>
      <x:c r="U32" s="1">
        <x:v>0</x:v>
      </x:c>
      <x:c r="V32" s="1">
        <x:v>0</x:v>
      </x:c>
      <x:c r="W32" s="1">
        <x:v>1</x:v>
      </x:c>
      <x:c r="X32" s="1">
        <x:v>0</x:v>
      </x:c>
      <x:c r="Y32" s="1">
        <x:v>0</x:v>
      </x:c>
      <x:c r="Z32" s="1" t="s">
        <x:v>136</x:v>
      </x:c>
      <x:c r="AA32" s="1" t="s">
        <x:v>136</x:v>
      </x:c>
      <x:c r="AB32" s="1" t="s">
        <x:v>137</x:v>
      </x:c>
      <x:c r="AC32" s="1" t="s">
        <x:v>138</x:v>
      </x:c>
    </x:row>
    <x:row r="33" ht="55.04999923706055" customHeight="1">
      <x:c r="A33" s="1" t="s">
        <x:v>34</x:v>
      </x:c>
      <x:c r="B33" s="1" t="str">
        <x:v>Scenario 032</x:v>
      </x:c>
      <x:c r="C33" s="1" t="str">
        <x:v>Synthetic domain-informed scenario</x:v>
      </x:c>
      <x:c r="D33" s="1">
        <x:v>46</x:v>
      </x:c>
      <x:c r="E33" s="1">
        <x:v>139000</x:v>
      </x:c>
      <x:c r="F33" s="1">
        <x:v>480</x:v>
      </x:c>
      <x:c r="G33" s="1" t="s">
        <x:v>143</x:v>
      </x:c>
      <x:c r="H33" s="1" t="s">
        <x:v>144</x:v>
      </x:c>
      <x:c r="I33" s="1" t="s">
        <x:v>142</x:v>
      </x:c>
      <x:c r="J33" s="1" t="s">
        <x:v>7</x:v>
      </x:c>
      <x:c r="K33" s="1" t="s">
        <x:v>1</x:v>
      </x:c>
      <x:c r="L33" s="1" t="s">
        <x:v>145</x:v>
      </x:c>
      <x:c r="M33" s="1" t="s">
        <x:v>7</x:v>
      </x:c>
      <x:c r="N33" s="1" t="s">
        <x:v>1</x:v>
      </x:c>
      <x:c r="O33" s="1">
        <x:v>9</x:v>
      </x:c>
      <x:c r="P33" s="1">
        <x:v>4320</x:v>
      </x:c>
      <x:c r="Q33" s="1">
        <x:v>22</x:v>
      </x:c>
      <x:c r="R33" s="4" t="b">
        <x:v>0</x:v>
      </x:c>
      <x:c r="S33" s="1">
        <x:v>0</x:v>
      </x:c>
      <x:c r="T33" s="1">
        <x:v>0</x:v>
      </x:c>
      <x:c r="U33" s="1">
        <x:v>0</x:v>
      </x:c>
      <x:c r="V33" s="1">
        <x:v>0</x:v>
      </x:c>
      <x:c r="W33" s="1">
        <x:v>1</x:v>
      </x:c>
      <x:c r="X33" s="1">
        <x:v>0</x:v>
      </x:c>
      <x:c r="Y33" s="1">
        <x:v>0</x:v>
      </x:c>
      <x:c r="Z33" s="1" t="s">
        <x:v>136</x:v>
      </x:c>
      <x:c r="AA33" s="1" t="s">
        <x:v>136</x:v>
      </x:c>
      <x:c r="AB33" s="1" t="s">
        <x:v>136</x:v>
      </x:c>
      <x:c r="AC33" s="1" t="s">
        <x:v>138</x:v>
      </x:c>
    </x:row>
    <x:row r="34" ht="55.04999923706055" customHeight="1">
      <x:c r="A34" s="1" t="s">
        <x:v>35</x:v>
      </x:c>
      <x:c r="B34" s="1" t="str">
        <x:v>Scenario 033</x:v>
      </x:c>
      <x:c r="C34" s="1" t="str">
        <x:v>Synthetic domain-informed scenario</x:v>
      </x:c>
      <x:c r="D34" s="1">
        <x:v>11</x:v>
      </x:c>
      <x:c r="E34" s="1">
        <x:v>40000</x:v>
      </x:c>
      <x:c r="F34" s="1">
        <x:v>381</x:v>
      </x:c>
      <x:c r="G34" s="1" t="s">
        <x:v>146</x:v>
      </x:c>
      <x:c r="H34" s="1" t="s">
        <x:v>148</x:v>
      </x:c>
      <x:c r="I34" s="1" t="s">
        <x:v>134</x:v>
      </x:c>
      <x:c r="J34" s="1" t="s">
        <x:v>7</x:v>
      </x:c>
      <x:c r="K34" s="1" t="s">
        <x:v>3</x:v>
      </x:c>
      <x:c r="L34" s="1" t="s">
        <x:v>135</x:v>
      </x:c>
      <x:c r="M34" s="1" t="s">
        <x:v>1</x:v>
      </x:c>
      <x:c r="N34" s="1" t="s">
        <x:v>1</x:v>
      </x:c>
      <x:c r="O34" s="1">
        <x:v>13</x:v>
      </x:c>
      <x:c r="P34" s="1">
        <x:v>6240</x:v>
      </x:c>
      <x:c r="Q34" s="1">
        <x:v>26</x:v>
      </x:c>
      <x:c r="R34" s="4" t="b">
        <x:v>1</x:v>
      </x:c>
      <x:c r="S34" s="1">
        <x:v>1</x:v>
      </x:c>
      <x:c r="T34" s="1">
        <x:v>1</x:v>
      </x:c>
      <x:c r="U34" s="1">
        <x:v>1</x:v>
      </x:c>
      <x:c r="V34" s="1">
        <x:v>0</x:v>
      </x:c>
      <x:c r="W34" s="1">
        <x:v>0</x:v>
      </x:c>
      <x:c r="X34" s="1">
        <x:v>1</x:v>
      </x:c>
      <x:c r="Y34" s="1">
        <x:v>0</x:v>
      </x:c>
      <x:c r="Z34" s="1" t="s">
        <x:v>136</x:v>
      </x:c>
      <x:c r="AA34" s="1" t="s">
        <x:v>136</x:v>
      </x:c>
      <x:c r="AB34" s="1" t="s">
        <x:v>137</x:v>
      </x:c>
      <x:c r="AC34" s="1" t="s">
        <x:v>138</x:v>
      </x:c>
    </x:row>
    <x:row r="35" ht="55.04999923706055" customHeight="1">
      <x:c r="A35" s="1" t="s">
        <x:v>36</x:v>
      </x:c>
      <x:c r="B35" s="1" t="str">
        <x:v>Scenario 034</x:v>
      </x:c>
      <x:c r="C35" s="1" t="str">
        <x:v>Synthetic domain-informed scenario</x:v>
      </x:c>
      <x:c r="D35" s="1">
        <x:v>149</x:v>
      </x:c>
      <x:c r="E35" s="1">
        <x:v>489000</x:v>
      </x:c>
      <x:c r="F35" s="1">
        <x:v>5065</x:v>
      </x:c>
      <x:c r="G35" s="1" t="s">
        <x:v>152</x:v>
      </x:c>
      <x:c r="H35" s="1" t="s">
        <x:v>144</x:v>
      </x:c>
      <x:c r="I35" s="1" t="s">
        <x:v>134</x:v>
      </x:c>
      <x:c r="J35" s="1" t="s">
        <x:v>7</x:v>
      </x:c>
      <x:c r="K35" s="1" t="s">
        <x:v>3</x:v>
      </x:c>
      <x:c r="L35" s="1" t="s">
        <x:v>135</x:v>
      </x:c>
      <x:c r="M35" s="1" t="s">
        <x:v>3</x:v>
      </x:c>
      <x:c r="N35" s="1" t="s">
        <x:v>3</x:v>
      </x:c>
      <x:c r="O35" s="1">
        <x:v>20</x:v>
      </x:c>
      <x:c r="P35" s="1">
        <x:v>9600</x:v>
      </x:c>
      <x:c r="Q35" s="1">
        <x:v>25</x:v>
      </x:c>
      <x:c r="R35" s="4" t="b">
        <x:v>1</x:v>
      </x:c>
      <x:c r="S35" s="1">
        <x:v>0</x:v>
      </x:c>
      <x:c r="T35" s="1">
        <x:v>0</x:v>
      </x:c>
      <x:c r="U35" s="1">
        <x:v>0</x:v>
      </x:c>
      <x:c r="V35" s="1">
        <x:v>0</x:v>
      </x:c>
      <x:c r="W35" s="1">
        <x:v>1</x:v>
      </x:c>
      <x:c r="X35" s="1">
        <x:v>0</x:v>
      </x:c>
      <x:c r="Y35" s="1">
        <x:v>0</x:v>
      </x:c>
      <x:c r="Z35" s="1" t="s">
        <x:v>136</x:v>
      </x:c>
      <x:c r="AA35" s="1" t="s">
        <x:v>136</x:v>
      </x:c>
      <x:c r="AB35" s="1" t="s">
        <x:v>136</x:v>
      </x:c>
      <x:c r="AC35" s="1" t="s">
        <x:v>138</x:v>
      </x:c>
    </x:row>
    <x:row r="36" ht="55.04999923706055" customHeight="1">
      <x:c r="A36" s="1" t="s">
        <x:v>37</x:v>
      </x:c>
      <x:c r="B36" s="1" t="str">
        <x:v>Scenario 035</x:v>
      </x:c>
      <x:c r="C36" s="1" t="str">
        <x:v>Synthetic domain-informed scenario</x:v>
      </x:c>
      <x:c r="D36" s="1">
        <x:v>26</x:v>
      </x:c>
      <x:c r="E36" s="1">
        <x:v>243000</x:v>
      </x:c>
      <x:c r="F36" s="1">
        <x:v>924</x:v>
      </x:c>
      <x:c r="G36" s="1" t="s">
        <x:v>143</x:v>
      </x:c>
      <x:c r="H36" s="1" t="s">
        <x:v>144</x:v>
      </x:c>
      <x:c r="I36" s="1" t="s">
        <x:v>141</x:v>
      </x:c>
      <x:c r="J36" s="1" t="s">
        <x:v>7</x:v>
      </x:c>
      <x:c r="K36" s="1" t="s">
        <x:v>1</x:v>
      </x:c>
      <x:c r="L36" s="1" t="s">
        <x:v>145</x:v>
      </x:c>
      <x:c r="M36" s="1" t="s">
        <x:v>7</x:v>
      </x:c>
      <x:c r="N36" s="1" t="s">
        <x:v>1</x:v>
      </x:c>
      <x:c r="O36" s="1">
        <x:v>10</x:v>
      </x:c>
      <x:c r="P36" s="1">
        <x:v>4800</x:v>
      </x:c>
      <x:c r="Q36" s="1">
        <x:v>27</x:v>
      </x:c>
      <x:c r="R36" s="4" t="b">
        <x:v>0</x:v>
      </x:c>
      <x:c r="S36" s="1">
        <x:v>0</x:v>
      </x:c>
      <x:c r="T36" s="1">
        <x:v>0</x:v>
      </x:c>
      <x:c r="U36" s="1">
        <x:v>0</x:v>
      </x:c>
      <x:c r="V36" s="1">
        <x:v>0</x:v>
      </x:c>
      <x:c r="W36" s="1">
        <x:v>1</x:v>
      </x:c>
      <x:c r="X36" s="1">
        <x:v>0</x:v>
      </x:c>
      <x:c r="Y36" s="1">
        <x:v>0</x:v>
      </x:c>
      <x:c r="Z36" s="1" t="s">
        <x:v>136</x:v>
      </x:c>
      <x:c r="AA36" s="1" t="s">
        <x:v>136</x:v>
      </x:c>
      <x:c r="AB36" s="1" t="s">
        <x:v>136</x:v>
      </x:c>
      <x:c r="AC36" s="1" t="s">
        <x:v>138</x:v>
      </x:c>
    </x:row>
    <x:row r="37" ht="55.04999923706055" customHeight="1">
      <x:c r="A37" s="1" t="s">
        <x:v>38</x:v>
      </x:c>
      <x:c r="B37" s="1" t="str">
        <x:v>Scenario 036</x:v>
      </x:c>
      <x:c r="C37" s="1" t="str">
        <x:v>Synthetic domain-informed scenario</x:v>
      </x:c>
      <x:c r="D37" s="1">
        <x:v>40</x:v>
      </x:c>
      <x:c r="E37" s="1">
        <x:v>195000</x:v>
      </x:c>
      <x:c r="F37" s="1">
        <x:v>2377</x:v>
      </x:c>
      <x:c r="G37" s="1" t="s">
        <x:v>132</x:v>
      </x:c>
      <x:c r="H37" s="1" t="s">
        <x:v>133</x:v>
      </x:c>
      <x:c r="I37" s="1" t="s">
        <x:v>142</x:v>
      </x:c>
      <x:c r="J37" s="1" t="s">
        <x:v>7</x:v>
      </x:c>
      <x:c r="K37" s="1" t="s">
        <x:v>1</x:v>
      </x:c>
      <x:c r="L37" s="1" t="s">
        <x:v>145</x:v>
      </x:c>
      <x:c r="M37" s="1" t="s">
        <x:v>7</x:v>
      </x:c>
      <x:c r="N37" s="1" t="s">
        <x:v>7</x:v>
      </x:c>
      <x:c r="O37" s="1">
        <x:v>11</x:v>
      </x:c>
      <x:c r="P37" s="1">
        <x:v>5280</x:v>
      </x:c>
      <x:c r="Q37" s="1">
        <x:v>31</x:v>
      </x:c>
      <x:c r="R37" s="4" t="b">
        <x:v>1</x:v>
      </x:c>
      <x:c r="S37" s="1">
        <x:v>1</x:v>
      </x:c>
      <x:c r="T37" s="1">
        <x:v>1</x:v>
      </x:c>
      <x:c r="U37" s="1">
        <x:v>0</x:v>
      </x:c>
      <x:c r="V37" s="1">
        <x:v>0</x:v>
      </x:c>
      <x:c r="W37" s="1">
        <x:v>1</x:v>
      </x:c>
      <x:c r="X37" s="1">
        <x:v>0</x:v>
      </x:c>
      <x:c r="Y37" s="1">
        <x:v>0</x:v>
      </x:c>
      <x:c r="Z37" s="1" t="s">
        <x:v>136</x:v>
      </x:c>
      <x:c r="AA37" s="1" t="s">
        <x:v>136</x:v>
      </x:c>
      <x:c r="AB37" s="1" t="s">
        <x:v>137</x:v>
      </x:c>
      <x:c r="AC37" s="1" t="s">
        <x:v>138</x:v>
      </x:c>
    </x:row>
    <x:row r="38" ht="55.04999923706055" customHeight="1">
      <x:c r="A38" s="1" t="s">
        <x:v>39</x:v>
      </x:c>
      <x:c r="B38" s="1" t="str">
        <x:v>Scenario 037</x:v>
      </x:c>
      <x:c r="C38" s="1" t="str">
        <x:v>Synthetic domain-informed scenario</x:v>
      </x:c>
      <x:c r="D38" s="1">
        <x:v>26</x:v>
      </x:c>
      <x:c r="E38" s="1">
        <x:v>45000</x:v>
      </x:c>
      <x:c r="F38" s="1">
        <x:v>936</x:v>
      </x:c>
      <x:c r="G38" s="1" t="s">
        <x:v>132</x:v>
      </x:c>
      <x:c r="H38" s="1" t="s">
        <x:v>133</x:v>
      </x:c>
      <x:c r="I38" s="1" t="s">
        <x:v>151</x:v>
      </x:c>
      <x:c r="J38" s="1" t="s">
        <x:v>7</x:v>
      </x:c>
      <x:c r="K38" s="1" t="s">
        <x:v>1</x:v>
      </x:c>
      <x:c r="L38" s="1" t="s">
        <x:v>145</x:v>
      </x:c>
      <x:c r="M38" s="1" t="s">
        <x:v>7</x:v>
      </x:c>
      <x:c r="N38" s="1" t="s">
        <x:v>7</x:v>
      </x:c>
      <x:c r="O38" s="1">
        <x:v>7</x:v>
      </x:c>
      <x:c r="P38" s="1">
        <x:v>3360</x:v>
      </x:c>
      <x:c r="Q38" s="1">
        <x:v>23</x:v>
      </x:c>
      <x:c r="R38" s="4" t="b">
        <x:v>1</x:v>
      </x:c>
      <x:c r="S38" s="1">
        <x:v>1</x:v>
      </x:c>
      <x:c r="T38" s="1">
        <x:v>1</x:v>
      </x:c>
      <x:c r="U38" s="1">
        <x:v>0</x:v>
      </x:c>
      <x:c r="V38" s="1">
        <x:v>0</x:v>
      </x:c>
      <x:c r="W38" s="1">
        <x:v>1</x:v>
      </x:c>
      <x:c r="X38" s="1">
        <x:v>0</x:v>
      </x:c>
      <x:c r="Y38" s="1">
        <x:v>0</x:v>
      </x:c>
      <x:c r="Z38" s="1" t="s">
        <x:v>136</x:v>
      </x:c>
      <x:c r="AA38" s="1" t="s">
        <x:v>136</x:v>
      </x:c>
      <x:c r="AB38" s="1" t="s">
        <x:v>137</x:v>
      </x:c>
      <x:c r="AC38" s="1" t="s">
        <x:v>138</x:v>
      </x:c>
    </x:row>
    <x:row r="39" ht="55.04999923706055" customHeight="1">
      <x:c r="A39" s="1" t="s">
        <x:v>40</x:v>
      </x:c>
      <x:c r="B39" s="1" t="str">
        <x:v>Scenario 038</x:v>
      </x:c>
      <x:c r="C39" s="1" t="str">
        <x:v>Synthetic domain-informed scenario</x:v>
      </x:c>
      <x:c r="D39" s="1">
        <x:v>69</x:v>
      </x:c>
      <x:c r="E39" s="1">
        <x:v>86000</x:v>
      </x:c>
      <x:c r="F39" s="1">
        <x:v>1949</x:v>
      </x:c>
      <x:c r="G39" s="1" t="s">
        <x:v>132</x:v>
      </x:c>
      <x:c r="H39" s="1" t="s">
        <x:v>133</x:v>
      </x:c>
      <x:c r="I39" s="1" t="s">
        <x:v>142</x:v>
      </x:c>
      <x:c r="J39" s="1" t="s">
        <x:v>7</x:v>
      </x:c>
      <x:c r="K39" s="1" t="s">
        <x:v>1</x:v>
      </x:c>
      <x:c r="L39" s="1" t="s">
        <x:v>135</x:v>
      </x:c>
      <x:c r="M39" s="1" t="s">
        <x:v>3</x:v>
      </x:c>
      <x:c r="N39" s="1" t="s">
        <x:v>1</x:v>
      </x:c>
      <x:c r="O39" s="1">
        <x:v>14</x:v>
      </x:c>
      <x:c r="P39" s="1">
        <x:v>6720</x:v>
      </x:c>
      <x:c r="Q39" s="1">
        <x:v>21</x:v>
      </x:c>
      <x:c r="R39" s="4" t="b">
        <x:v>0</x:v>
      </x:c>
      <x:c r="S39" s="1">
        <x:v>1</x:v>
      </x:c>
      <x:c r="T39" s="1">
        <x:v>1</x:v>
      </x:c>
      <x:c r="U39" s="1">
        <x:v>0</x:v>
      </x:c>
      <x:c r="V39" s="1">
        <x:v>0</x:v>
      </x:c>
      <x:c r="W39" s="1">
        <x:v>1</x:v>
      </x:c>
      <x:c r="X39" s="1">
        <x:v>0</x:v>
      </x:c>
      <x:c r="Y39" s="1">
        <x:v>0</x:v>
      </x:c>
      <x:c r="Z39" s="1" t="s">
        <x:v>136</x:v>
      </x:c>
      <x:c r="AA39" s="1" t="s">
        <x:v>136</x:v>
      </x:c>
      <x:c r="AB39" s="1" t="s">
        <x:v>137</x:v>
      </x:c>
      <x:c r="AC39" s="1" t="s">
        <x:v>138</x:v>
      </x:c>
    </x:row>
    <x:row r="40" ht="55.04999923706055" customHeight="1">
      <x:c r="A40" s="1" t="s">
        <x:v>41</x:v>
      </x:c>
      <x:c r="B40" s="1" t="str">
        <x:v>Scenario 039</x:v>
      </x:c>
      <x:c r="C40" s="1" t="str">
        <x:v>Synthetic domain-informed scenario</x:v>
      </x:c>
      <x:c r="D40" s="1">
        <x:v>33</x:v>
      </x:c>
      <x:c r="E40" s="1">
        <x:v>284000</x:v>
      </x:c>
      <x:c r="F40" s="1">
        <x:v>3362</x:v>
      </x:c>
      <x:c r="G40" s="1" t="s">
        <x:v>143</x:v>
      </x:c>
      <x:c r="H40" s="1" t="s">
        <x:v>144</x:v>
      </x:c>
      <x:c r="I40" s="1" t="s">
        <x:v>151</x:v>
      </x:c>
      <x:c r="J40" s="1" t="s">
        <x:v>3</x:v>
      </x:c>
      <x:c r="K40" s="1" t="s">
        <x:v>7</x:v>
      </x:c>
      <x:c r="L40" s="1" t="s">
        <x:v>145</x:v>
      </x:c>
      <x:c r="M40" s="1" t="s">
        <x:v>1</x:v>
      </x:c>
      <x:c r="N40" s="1" t="s">
        <x:v>1</x:v>
      </x:c>
      <x:c r="O40" s="1">
        <x:v>11</x:v>
      </x:c>
      <x:c r="P40" s="1">
        <x:v>5280</x:v>
      </x:c>
      <x:c r="Q40" s="1">
        <x:v>23</x:v>
      </x:c>
      <x:c r="R40" s="4" t="b">
        <x:v>1</x:v>
      </x:c>
      <x:c r="S40" s="1">
        <x:v>0</x:v>
      </x:c>
      <x:c r="T40" s="1">
        <x:v>0</x:v>
      </x:c>
      <x:c r="U40" s="1">
        <x:v>0</x:v>
      </x:c>
      <x:c r="V40" s="1">
        <x:v>0</x:v>
      </x:c>
      <x:c r="W40" s="1">
        <x:v>1</x:v>
      </x:c>
      <x:c r="X40" s="1">
        <x:v>0</x:v>
      </x:c>
      <x:c r="Y40" s="1">
        <x:v>0</x:v>
      </x:c>
      <x:c r="Z40" s="1" t="s">
        <x:v>136</x:v>
      </x:c>
      <x:c r="AA40" s="1" t="s">
        <x:v>136</x:v>
      </x:c>
      <x:c r="AB40" s="1" t="s">
        <x:v>136</x:v>
      </x:c>
      <x:c r="AC40" s="1" t="s">
        <x:v>138</x:v>
      </x:c>
    </x:row>
    <x:row r="41" ht="55.04999923706055" customHeight="1">
      <x:c r="A41" s="1" t="s">
        <x:v>42</x:v>
      </x:c>
      <x:c r="B41" s="1" t="str">
        <x:v>Scenario 040</x:v>
      </x:c>
      <x:c r="C41" s="1" t="str">
        <x:v>Synthetic domain-informed scenario</x:v>
      </x:c>
      <x:c r="D41" s="1">
        <x:v>46</x:v>
      </x:c>
      <x:c r="E41" s="1">
        <x:v>381000</x:v>
      </x:c>
      <x:c r="F41" s="1">
        <x:v>711</x:v>
      </x:c>
      <x:c r="G41" s="1" t="s">
        <x:v>146</x:v>
      </x:c>
      <x:c r="H41" s="1" t="s">
        <x:v>148</x:v>
      </x:c>
      <x:c r="I41" s="1" t="s">
        <x:v>142</x:v>
      </x:c>
      <x:c r="J41" s="1" t="s">
        <x:v>3</x:v>
      </x:c>
      <x:c r="K41" s="1" t="s">
        <x:v>3</x:v>
      </x:c>
      <x:c r="L41" s="1" t="s">
        <x:v>135</x:v>
      </x:c>
      <x:c r="M41" s="1" t="s">
        <x:v>3</x:v>
      </x:c>
      <x:c r="N41" s="1" t="s">
        <x:v>3</x:v>
      </x:c>
      <x:c r="O41" s="1">
        <x:v>14</x:v>
      </x:c>
      <x:c r="P41" s="1">
        <x:v>6720</x:v>
      </x:c>
      <x:c r="Q41" s="1">
        <x:v>39</x:v>
      </x:c>
      <x:c r="R41" s="4" t="b">
        <x:v>1</x:v>
      </x:c>
      <x:c r="S41" s="1">
        <x:v>1</x:v>
      </x:c>
      <x:c r="T41" s="1">
        <x:v>1</x:v>
      </x:c>
      <x:c r="U41" s="1">
        <x:v>1</x:v>
      </x:c>
      <x:c r="V41" s="1">
        <x:v>0</x:v>
      </x:c>
      <x:c r="W41" s="1">
        <x:v>0</x:v>
      </x:c>
      <x:c r="X41" s="1">
        <x:v>1</x:v>
      </x:c>
      <x:c r="Y41" s="1">
        <x:v>0</x:v>
      </x:c>
      <x:c r="Z41" s="1" t="s">
        <x:v>136</x:v>
      </x:c>
      <x:c r="AA41" s="1" t="s">
        <x:v>136</x:v>
      </x:c>
      <x:c r="AB41" s="1" t="s">
        <x:v>137</x:v>
      </x:c>
      <x:c r="AC41" s="1" t="s">
        <x:v>138</x:v>
      </x:c>
    </x:row>
    <x:row r="42" ht="55.04999923706055" customHeight="1">
      <x:c r="A42" s="1" t="s">
        <x:v>43</x:v>
      </x:c>
      <x:c r="B42" s="1" t="str">
        <x:v>Scenario 041</x:v>
      </x:c>
      <x:c r="C42" s="1" t="str">
        <x:v>Synthetic domain-informed scenario</x:v>
      </x:c>
      <x:c r="D42" s="1">
        <x:v>32</x:v>
      </x:c>
      <x:c r="E42" s="1">
        <x:v>179000</x:v>
      </x:c>
      <x:c r="F42" s="1">
        <x:v>1382</x:v>
      </x:c>
      <x:c r="G42" s="1" t="s">
        <x:v>149</x:v>
      </x:c>
      <x:c r="H42" s="1" t="s">
        <x:v>150</x:v>
      </x:c>
      <x:c r="I42" s="1" t="s">
        <x:v>153</x:v>
      </x:c>
      <x:c r="J42" s="1" t="s">
        <x:v>3</x:v>
      </x:c>
      <x:c r="K42" s="1" t="s">
        <x:v>1</x:v>
      </x:c>
      <x:c r="L42" s="1" t="s">
        <x:v>145</x:v>
      </x:c>
      <x:c r="M42" s="1" t="s">
        <x:v>1</x:v>
      </x:c>
      <x:c r="N42" s="1" t="s">
        <x:v>1</x:v>
      </x:c>
      <x:c r="O42" s="1">
        <x:v>12</x:v>
      </x:c>
      <x:c r="P42" s="1">
        <x:v>5760</x:v>
      </x:c>
      <x:c r="Q42" s="1">
        <x:v>34</x:v>
      </x:c>
      <x:c r="R42" s="4" t="b">
        <x:v>1</x:v>
      </x:c>
      <x:c r="S42" s="1">
        <x:v>1</x:v>
      </x:c>
      <x:c r="T42" s="1">
        <x:v>1</x:v>
      </x:c>
      <x:c r="U42" s="1">
        <x:v>0</x:v>
      </x:c>
      <x:c r="V42" s="1">
        <x:v>0</x:v>
      </x:c>
      <x:c r="W42" s="1">
        <x:v>0</x:v>
      </x:c>
      <x:c r="X42" s="1">
        <x:v>0</x:v>
      </x:c>
      <x:c r="Y42" s="1">
        <x:v>0</x:v>
      </x:c>
      <x:c r="Z42" s="1" t="s">
        <x:v>136</x:v>
      </x:c>
      <x:c r="AA42" s="1" t="s">
        <x:v>136</x:v>
      </x:c>
      <x:c r="AB42" s="1" t="s">
        <x:v>137</x:v>
      </x:c>
      <x:c r="AC42" s="1" t="s">
        <x:v>138</x:v>
      </x:c>
    </x:row>
    <x:row r="43" ht="55.04999923706055" customHeight="1">
      <x:c r="A43" s="1" t="s">
        <x:v>44</x:v>
      </x:c>
      <x:c r="B43" s="1" t="str">
        <x:v>Scenario 042</x:v>
      </x:c>
      <x:c r="C43" s="1" t="str">
        <x:v>Synthetic domain-informed scenario</x:v>
      </x:c>
      <x:c r="D43" s="1">
        <x:v>22</x:v>
      </x:c>
      <x:c r="E43" s="1">
        <x:v>57000</x:v>
      </x:c>
      <x:c r="F43" s="1">
        <x:v>1814</x:v>
      </x:c>
      <x:c r="G43" s="1" t="s">
        <x:v>152</x:v>
      </x:c>
      <x:c r="H43" s="1" t="s">
        <x:v>144</x:v>
      </x:c>
      <x:c r="I43" s="1" t="s">
        <x:v>141</x:v>
      </x:c>
      <x:c r="J43" s="1" t="s">
        <x:v>3</x:v>
      </x:c>
      <x:c r="K43" s="1" t="s">
        <x:v>1</x:v>
      </x:c>
      <x:c r="L43" s="1" t="s">
        <x:v>145</x:v>
      </x:c>
      <x:c r="M43" s="1" t="s">
        <x:v>3</x:v>
      </x:c>
      <x:c r="N43" s="1" t="s">
        <x:v>1</x:v>
      </x:c>
      <x:c r="O43" s="1">
        <x:v>9</x:v>
      </x:c>
      <x:c r="P43" s="1">
        <x:v>4320</x:v>
      </x:c>
      <x:c r="Q43" s="1">
        <x:v>22</x:v>
      </x:c>
      <x:c r="R43" s="4" t="b">
        <x:v>0</x:v>
      </x:c>
      <x:c r="S43" s="1">
        <x:v>0</x:v>
      </x:c>
      <x:c r="T43" s="1">
        <x:v>0</x:v>
      </x:c>
      <x:c r="U43" s="1">
        <x:v>0</x:v>
      </x:c>
      <x:c r="V43" s="1">
        <x:v>0</x:v>
      </x:c>
      <x:c r="W43" s="1">
        <x:v>1</x:v>
      </x:c>
      <x:c r="X43" s="1">
        <x:v>0</x:v>
      </x:c>
      <x:c r="Y43" s="1">
        <x:v>0</x:v>
      </x:c>
      <x:c r="Z43" s="1" t="s">
        <x:v>136</x:v>
      </x:c>
      <x:c r="AA43" s="1" t="s">
        <x:v>136</x:v>
      </x:c>
      <x:c r="AB43" s="1" t="s">
        <x:v>136</x:v>
      </x:c>
      <x:c r="AC43" s="1" t="s">
        <x:v>138</x:v>
      </x:c>
    </x:row>
    <x:row r="44" ht="55.04999923706055" customHeight="1">
      <x:c r="A44" s="1" t="s">
        <x:v>45</x:v>
      </x:c>
      <x:c r="B44" s="1" t="str">
        <x:v>Scenario 043</x:v>
      </x:c>
      <x:c r="C44" s="1" t="str">
        <x:v>Synthetic domain-informed scenario</x:v>
      </x:c>
      <x:c r="D44" s="1">
        <x:v>40</x:v>
      </x:c>
      <x:c r="E44" s="1">
        <x:v>222000</x:v>
      </x:c>
      <x:c r="F44" s="1">
        <x:v>3038</x:v>
      </x:c>
      <x:c r="G44" s="1" t="s">
        <x:v>152</x:v>
      </x:c>
      <x:c r="H44" s="1" t="s">
        <x:v>144</x:v>
      </x:c>
      <x:c r="I44" s="1" t="s">
        <x:v>142</x:v>
      </x:c>
      <x:c r="J44" s="1" t="s">
        <x:v>7</x:v>
      </x:c>
      <x:c r="K44" s="1" t="s">
        <x:v>7</x:v>
      </x:c>
      <x:c r="L44" s="1" t="s">
        <x:v>145</x:v>
      </x:c>
      <x:c r="M44" s="1" t="s">
        <x:v>7</x:v>
      </x:c>
      <x:c r="N44" s="1" t="s">
        <x:v>7</x:v>
      </x:c>
      <x:c r="O44" s="1">
        <x:v>12</x:v>
      </x:c>
      <x:c r="P44" s="1">
        <x:v>5760</x:v>
      </x:c>
      <x:c r="Q44" s="1">
        <x:v>33</x:v>
      </x:c>
      <x:c r="R44" s="4" t="b">
        <x:v>1</x:v>
      </x:c>
      <x:c r="S44" s="1">
        <x:v>0</x:v>
      </x:c>
      <x:c r="T44" s="1">
        <x:v>0</x:v>
      </x:c>
      <x:c r="U44" s="1">
        <x:v>0</x:v>
      </x:c>
      <x:c r="V44" s="1">
        <x:v>0</x:v>
      </x:c>
      <x:c r="W44" s="1">
        <x:v>1</x:v>
      </x:c>
      <x:c r="X44" s="1">
        <x:v>0</x:v>
      </x:c>
      <x:c r="Y44" s="1">
        <x:v>0</x:v>
      </x:c>
      <x:c r="Z44" s="1" t="s">
        <x:v>136</x:v>
      </x:c>
      <x:c r="AA44" s="1" t="s">
        <x:v>136</x:v>
      </x:c>
      <x:c r="AB44" s="1" t="s">
        <x:v>136</x:v>
      </x:c>
      <x:c r="AC44" s="1" t="s">
        <x:v>138</x:v>
      </x:c>
    </x:row>
    <x:row r="45" ht="55.04999923706055" customHeight="1">
      <x:c r="A45" s="1" t="s">
        <x:v>46</x:v>
      </x:c>
      <x:c r="B45" s="1" t="str">
        <x:v>Scenario 044</x:v>
      </x:c>
      <x:c r="C45" s="1" t="str">
        <x:v>Synthetic domain-informed scenario</x:v>
      </x:c>
      <x:c r="D45" s="1">
        <x:v>25</x:v>
      </x:c>
      <x:c r="E45" s="1">
        <x:v>255000</x:v>
      </x:c>
      <x:c r="F45" s="1">
        <x:v>1937</x:v>
      </x:c>
      <x:c r="G45" s="1" t="s">
        <x:v>139</x:v>
      </x:c>
      <x:c r="H45" s="1" t="s">
        <x:v>140</x:v>
      </x:c>
      <x:c r="I45" s="1" t="s">
        <x:v>153</x:v>
      </x:c>
      <x:c r="J45" s="1" t="s">
        <x:v>3</x:v>
      </x:c>
      <x:c r="K45" s="1" t="s">
        <x:v>1</x:v>
      </x:c>
      <x:c r="L45" s="1" t="s">
        <x:v>145</x:v>
      </x:c>
      <x:c r="M45" s="1" t="s">
        <x:v>1</x:v>
      </x:c>
      <x:c r="N45" s="1" t="s">
        <x:v>1</x:v>
      </x:c>
      <x:c r="O45" s="1">
        <x:v>10</x:v>
      </x:c>
      <x:c r="P45" s="1">
        <x:v>4800</x:v>
      </x:c>
      <x:c r="Q45" s="1">
        <x:v>27</x:v>
      </x:c>
      <x:c r="R45" s="4" t="b">
        <x:v>1</x:v>
      </x:c>
      <x:c r="S45" s="1">
        <x:v>1</x:v>
      </x:c>
      <x:c r="T45" s="1">
        <x:v>0</x:v>
      </x:c>
      <x:c r="U45" s="1">
        <x:v>0</x:v>
      </x:c>
      <x:c r="V45" s="1">
        <x:v>0</x:v>
      </x:c>
      <x:c r="W45" s="1">
        <x:v>1</x:v>
      </x:c>
      <x:c r="X45" s="1">
        <x:v>0</x:v>
      </x:c>
      <x:c r="Y45" s="1">
        <x:v>0</x:v>
      </x:c>
      <x:c r="Z45" s="1" t="s">
        <x:v>136</x:v>
      </x:c>
      <x:c r="AA45" s="1" t="s">
        <x:v>136</x:v>
      </x:c>
      <x:c r="AB45" s="1" t="s">
        <x:v>137</x:v>
      </x:c>
      <x:c r="AC45" s="1" t="s">
        <x:v>138</x:v>
      </x:c>
    </x:row>
    <x:row r="46" ht="55.04999923706055" customHeight="1">
      <x:c r="A46" s="1" t="s">
        <x:v>47</x:v>
      </x:c>
      <x:c r="B46" s="1" t="str">
        <x:v>Scenario 045</x:v>
      </x:c>
      <x:c r="C46" s="1" t="str">
        <x:v>Synthetic domain-informed scenario</x:v>
      </x:c>
      <x:c r="D46" s="1">
        <x:v>13</x:v>
      </x:c>
      <x:c r="E46" s="1">
        <x:v>124000</x:v>
      </x:c>
      <x:c r="F46" s="1">
        <x:v>492</x:v>
      </x:c>
      <x:c r="G46" s="1" t="s">
        <x:v>152</x:v>
      </x:c>
      <x:c r="H46" s="1" t="s">
        <x:v>144</x:v>
      </x:c>
      <x:c r="I46" s="1" t="s">
        <x:v>151</x:v>
      </x:c>
      <x:c r="J46" s="1" t="s">
        <x:v>3</x:v>
      </x:c>
      <x:c r="K46" s="1" t="s">
        <x:v>7</x:v>
      </x:c>
      <x:c r="L46" s="1" t="s">
        <x:v>135</x:v>
      </x:c>
      <x:c r="M46" s="1" t="s">
        <x:v>1</x:v>
      </x:c>
      <x:c r="N46" s="1" t="s">
        <x:v>7</x:v>
      </x:c>
      <x:c r="O46" s="1">
        <x:v>6</x:v>
      </x:c>
      <x:c r="P46" s="1">
        <x:v>2880</x:v>
      </x:c>
      <x:c r="Q46" s="1">
        <x:v>34</x:v>
      </x:c>
      <x:c r="R46" s="4" t="b">
        <x:v>0</x:v>
      </x:c>
      <x:c r="S46" s="1">
        <x:v>0</x:v>
      </x:c>
      <x:c r="T46" s="1">
        <x:v>0</x:v>
      </x:c>
      <x:c r="U46" s="1">
        <x:v>0</x:v>
      </x:c>
      <x:c r="V46" s="1">
        <x:v>0</x:v>
      </x:c>
      <x:c r="W46" s="1">
        <x:v>1</x:v>
      </x:c>
      <x:c r="X46" s="1">
        <x:v>0</x:v>
      </x:c>
      <x:c r="Y46" s="1">
        <x:v>0</x:v>
      </x:c>
      <x:c r="Z46" s="1" t="s">
        <x:v>136</x:v>
      </x:c>
      <x:c r="AA46" s="1" t="s">
        <x:v>136</x:v>
      </x:c>
      <x:c r="AB46" s="1" t="s">
        <x:v>136</x:v>
      </x:c>
      <x:c r="AC46" s="1" t="s">
        <x:v>138</x:v>
      </x:c>
    </x:row>
    <x:row r="47" ht="55.04999923706055" customHeight="1">
      <x:c r="A47" s="1" t="s">
        <x:v>48</x:v>
      </x:c>
      <x:c r="B47" s="1" t="str">
        <x:v>Scenario 046</x:v>
      </x:c>
      <x:c r="C47" s="1" t="str">
        <x:v>Synthetic domain-informed scenario</x:v>
      </x:c>
      <x:c r="D47" s="1">
        <x:v>64</x:v>
      </x:c>
      <x:c r="E47" s="1">
        <x:v>271000</x:v>
      </x:c>
      <x:c r="F47" s="1">
        <x:v>1196</x:v>
      </x:c>
      <x:c r="G47" s="1" t="s">
        <x:v>152</x:v>
      </x:c>
      <x:c r="H47" s="1" t="s">
        <x:v>144</x:v>
      </x:c>
      <x:c r="I47" s="1" t="s">
        <x:v>151</x:v>
      </x:c>
      <x:c r="J47" s="1" t="s">
        <x:v>3</x:v>
      </x:c>
      <x:c r="K47" s="1" t="s">
        <x:v>3</x:v>
      </x:c>
      <x:c r="L47" s="1" t="s">
        <x:v>135</x:v>
      </x:c>
      <x:c r="M47" s="1" t="s">
        <x:v>3</x:v>
      </x:c>
      <x:c r="N47" s="1" t="s">
        <x:v>3</x:v>
      </x:c>
      <x:c r="O47" s="1">
        <x:v>17</x:v>
      </x:c>
      <x:c r="P47" s="1">
        <x:v>8160</x:v>
      </x:c>
      <x:c r="Q47" s="1">
        <x:v>40</x:v>
      </x:c>
      <x:c r="R47" s="4" t="b">
        <x:v>1</x:v>
      </x:c>
      <x:c r="S47" s="1">
        <x:v>0</x:v>
      </x:c>
      <x:c r="T47" s="1">
        <x:v>0</x:v>
      </x:c>
      <x:c r="U47" s="1">
        <x:v>0</x:v>
      </x:c>
      <x:c r="V47" s="1">
        <x:v>0</x:v>
      </x:c>
      <x:c r="W47" s="1">
        <x:v>1</x:v>
      </x:c>
      <x:c r="X47" s="1">
        <x:v>0</x:v>
      </x:c>
      <x:c r="Y47" s="1">
        <x:v>0</x:v>
      </x:c>
      <x:c r="Z47" s="1" t="s">
        <x:v>136</x:v>
      </x:c>
      <x:c r="AA47" s="1" t="s">
        <x:v>136</x:v>
      </x:c>
      <x:c r="AB47" s="1" t="s">
        <x:v>136</x:v>
      </x:c>
      <x:c r="AC47" s="1" t="s">
        <x:v>138</x:v>
      </x:c>
    </x:row>
    <x:row r="48" ht="55.04999923706055" customHeight="1">
      <x:c r="A48" s="1" t="s">
        <x:v>49</x:v>
      </x:c>
      <x:c r="B48" s="1" t="str">
        <x:v>Scenario 047</x:v>
      </x:c>
      <x:c r="C48" s="1" t="str">
        <x:v>Synthetic domain-informed scenario</x:v>
      </x:c>
      <x:c r="D48" s="1">
        <x:v>18</x:v>
      </x:c>
      <x:c r="E48" s="1">
        <x:v>241000</x:v>
      </x:c>
      <x:c r="F48" s="1">
        <x:v>856</x:v>
      </x:c>
      <x:c r="G48" s="1" t="s">
        <x:v>146</x:v>
      </x:c>
      <x:c r="H48" s="1" t="s">
        <x:v>148</x:v>
      </x:c>
      <x:c r="I48" s="1" t="s">
        <x:v>153</x:v>
      </x:c>
      <x:c r="J48" s="1" t="s">
        <x:v>7</x:v>
      </x:c>
      <x:c r="K48" s="1" t="s">
        <x:v>3</x:v>
      </x:c>
      <x:c r="L48" s="1" t="s">
        <x:v>135</x:v>
      </x:c>
      <x:c r="M48" s="1" t="s">
        <x:v>3</x:v>
      </x:c>
      <x:c r="N48" s="1" t="s">
        <x:v>1</x:v>
      </x:c>
      <x:c r="O48" s="1">
        <x:v>11</x:v>
      </x:c>
      <x:c r="P48" s="1">
        <x:v>5280</x:v>
      </x:c>
      <x:c r="Q48" s="1">
        <x:v>24</x:v>
      </x:c>
      <x:c r="R48" s="4" t="b">
        <x:v>0</x:v>
      </x:c>
      <x:c r="S48" s="1">
        <x:v>1</x:v>
      </x:c>
      <x:c r="T48" s="1">
        <x:v>1</x:v>
      </x:c>
      <x:c r="U48" s="1">
        <x:v>1</x:v>
      </x:c>
      <x:c r="V48" s="1">
        <x:v>0</x:v>
      </x:c>
      <x:c r="W48" s="1">
        <x:v>0</x:v>
      </x:c>
      <x:c r="X48" s="1">
        <x:v>1</x:v>
      </x:c>
      <x:c r="Y48" s="1">
        <x:v>0</x:v>
      </x:c>
      <x:c r="Z48" s="1" t="s">
        <x:v>136</x:v>
      </x:c>
      <x:c r="AA48" s="1" t="s">
        <x:v>136</x:v>
      </x:c>
      <x:c r="AB48" s="1" t="s">
        <x:v>137</x:v>
      </x:c>
      <x:c r="AC48" s="1" t="s">
        <x:v>138</x:v>
      </x:c>
    </x:row>
    <x:row r="49" ht="55.04999923706055" customHeight="1">
      <x:c r="A49" s="1" t="s">
        <x:v>50</x:v>
      </x:c>
      <x:c r="B49" s="1" t="str">
        <x:v>Scenario 048</x:v>
      </x:c>
      <x:c r="C49" s="1" t="str">
        <x:v>Synthetic domain-informed scenario</x:v>
      </x:c>
      <x:c r="D49" s="1">
        <x:v>17</x:v>
      </x:c>
      <x:c r="E49" s="1">
        <x:v>61000</x:v>
      </x:c>
      <x:c r="F49" s="1">
        <x:v>499</x:v>
      </x:c>
      <x:c r="G49" s="1" t="s">
        <x:v>139</x:v>
      </x:c>
      <x:c r="H49" s="1" t="s">
        <x:v>140</x:v>
      </x:c>
      <x:c r="I49" s="1" t="s">
        <x:v>153</x:v>
      </x:c>
      <x:c r="J49" s="1" t="s">
        <x:v>7</x:v>
      </x:c>
      <x:c r="K49" s="1" t="s">
        <x:v>7</x:v>
      </x:c>
      <x:c r="L49" s="1" t="s">
        <x:v>145</x:v>
      </x:c>
      <x:c r="M49" s="1" t="s">
        <x:v>7</x:v>
      </x:c>
      <x:c r="N49" s="1" t="s">
        <x:v>7</x:v>
      </x:c>
      <x:c r="O49" s="1">
        <x:v>5</x:v>
      </x:c>
      <x:c r="P49" s="1">
        <x:v>2400</x:v>
      </x:c>
      <x:c r="Q49" s="1">
        <x:v>33</x:v>
      </x:c>
      <x:c r="R49" s="4" t="b">
        <x:v>1</x:v>
      </x:c>
      <x:c r="S49" s="1">
        <x:v>1</x:v>
      </x:c>
      <x:c r="T49" s="1">
        <x:v>0</x:v>
      </x:c>
      <x:c r="U49" s="1">
        <x:v>0</x:v>
      </x:c>
      <x:c r="V49" s="1">
        <x:v>0</x:v>
      </x:c>
      <x:c r="W49" s="1">
        <x:v>1</x:v>
      </x:c>
      <x:c r="X49" s="1">
        <x:v>0</x:v>
      </x:c>
      <x:c r="Y49" s="1">
        <x:v>0</x:v>
      </x:c>
      <x:c r="Z49" s="1" t="s">
        <x:v>136</x:v>
      </x:c>
      <x:c r="AA49" s="1" t="s">
        <x:v>136</x:v>
      </x:c>
      <x:c r="AB49" s="1" t="s">
        <x:v>137</x:v>
      </x:c>
      <x:c r="AC49" s="1" t="s">
        <x:v>138</x:v>
      </x:c>
    </x:row>
    <x:row r="50" ht="55.04999923706055" customHeight="1">
      <x:c r="A50" s="1" t="s">
        <x:v>51</x:v>
      </x:c>
      <x:c r="B50" s="1" t="str">
        <x:v>Scenario 049</x:v>
      </x:c>
      <x:c r="C50" s="1" t="str">
        <x:v>Synthetic domain-informed scenario</x:v>
      </x:c>
      <x:c r="D50" s="1">
        <x:v>15</x:v>
      </x:c>
      <x:c r="E50" s="1">
        <x:v>133000</x:v>
      </x:c>
      <x:c r="F50" s="1">
        <x:v>2860</x:v>
      </x:c>
      <x:c r="G50" s="1" t="s">
        <x:v>146</x:v>
      </x:c>
      <x:c r="H50" s="1" t="s">
        <x:v>148</x:v>
      </x:c>
      <x:c r="I50" s="1" t="s">
        <x:v>134</x:v>
      </x:c>
      <x:c r="J50" s="1" t="s">
        <x:v>3</x:v>
      </x:c>
      <x:c r="K50" s="1" t="s">
        <x:v>3</x:v>
      </x:c>
      <x:c r="L50" s="1" t="s">
        <x:v>135</x:v>
      </x:c>
      <x:c r="M50" s="1" t="s">
        <x:v>3</x:v>
      </x:c>
      <x:c r="N50" s="1" t="s">
        <x:v>1</x:v>
      </x:c>
      <x:c r="O50" s="1">
        <x:v>12</x:v>
      </x:c>
      <x:c r="P50" s="1">
        <x:v>5760</x:v>
      </x:c>
      <x:c r="Q50" s="1">
        <x:v>35</x:v>
      </x:c>
      <x:c r="R50" s="4" t="b">
        <x:v>0</x:v>
      </x:c>
      <x:c r="S50" s="1">
        <x:v>1</x:v>
      </x:c>
      <x:c r="T50" s="1">
        <x:v>1</x:v>
      </x:c>
      <x:c r="U50" s="1">
        <x:v>1</x:v>
      </x:c>
      <x:c r="V50" s="1">
        <x:v>0</x:v>
      </x:c>
      <x:c r="W50" s="1">
        <x:v>0</x:v>
      </x:c>
      <x:c r="X50" s="1">
        <x:v>1</x:v>
      </x:c>
      <x:c r="Y50" s="1">
        <x:v>0</x:v>
      </x:c>
      <x:c r="Z50" s="1" t="s">
        <x:v>136</x:v>
      </x:c>
      <x:c r="AA50" s="1" t="s">
        <x:v>136</x:v>
      </x:c>
      <x:c r="AB50" s="1" t="s">
        <x:v>137</x:v>
      </x:c>
      <x:c r="AC50" s="1" t="s">
        <x:v>138</x:v>
      </x:c>
    </x:row>
    <x:row r="51" ht="55.04999923706055" customHeight="1">
      <x:c r="A51" s="1" t="s">
        <x:v>52</x:v>
      </x:c>
      <x:c r="B51" s="1" t="str">
        <x:v>Scenario 050</x:v>
      </x:c>
      <x:c r="C51" s="1" t="str">
        <x:v>Synthetic domain-informed scenario</x:v>
      </x:c>
      <x:c r="D51" s="1">
        <x:v>76</x:v>
      </x:c>
      <x:c r="E51" s="1">
        <x:v>452000</x:v>
      </x:c>
      <x:c r="F51" s="1">
        <x:v>2719</x:v>
      </x:c>
      <x:c r="G51" s="1" t="s">
        <x:v>149</x:v>
      </x:c>
      <x:c r="H51" s="1" t="s">
        <x:v>150</x:v>
      </x:c>
      <x:c r="I51" s="1" t="s">
        <x:v>153</x:v>
      </x:c>
      <x:c r="J51" s="1" t="s">
        <x:v>3</x:v>
      </x:c>
      <x:c r="K51" s="1" t="s">
        <x:v>1</x:v>
      </x:c>
      <x:c r="L51" s="1" t="s">
        <x:v>135</x:v>
      </x:c>
      <x:c r="M51" s="1" t="s">
        <x:v>3</x:v>
      </x:c>
      <x:c r="N51" s="1" t="s">
        <x:v>3</x:v>
      </x:c>
      <x:c r="O51" s="1">
        <x:v>15</x:v>
      </x:c>
      <x:c r="P51" s="1">
        <x:v>7200</x:v>
      </x:c>
      <x:c r="Q51" s="1">
        <x:v>24</x:v>
      </x:c>
      <x:c r="R51" s="4" t="b">
        <x:v>1</x:v>
      </x:c>
      <x:c r="S51" s="1">
        <x:v>1</x:v>
      </x:c>
      <x:c r="T51" s="1">
        <x:v>1</x:v>
      </x:c>
      <x:c r="U51" s="1">
        <x:v>0</x:v>
      </x:c>
      <x:c r="V51" s="1">
        <x:v>0</x:v>
      </x:c>
      <x:c r="W51" s="1">
        <x:v>0</x:v>
      </x:c>
      <x:c r="X51" s="1">
        <x:v>0</x:v>
      </x:c>
      <x:c r="Y51" s="1">
        <x:v>0</x:v>
      </x:c>
      <x:c r="Z51" s="1" t="s">
        <x:v>136</x:v>
      </x:c>
      <x:c r="AA51" s="1" t="s">
        <x:v>136</x:v>
      </x:c>
      <x:c r="AB51" s="1" t="s">
        <x:v>137</x:v>
      </x:c>
      <x:c r="AC51" s="1" t="s">
        <x:v>138</x:v>
      </x:c>
    </x:row>
    <x:row r="52" ht="55.04999923706055" customHeight="1">
      <x:c r="A52" s="1" t="s">
        <x:v>53</x:v>
      </x:c>
      <x:c r="B52" s="1" t="str">
        <x:v>Scenario 051</x:v>
      </x:c>
      <x:c r="C52" s="1" t="str">
        <x:v>Synthetic domain-informed scenario</x:v>
      </x:c>
      <x:c r="D52" s="1">
        <x:v>52</x:v>
      </x:c>
      <x:c r="E52" s="1">
        <x:v>76000</x:v>
      </x:c>
      <x:c r="F52" s="1">
        <x:v>1114</x:v>
      </x:c>
      <x:c r="G52" s="1" t="s">
        <x:v>146</x:v>
      </x:c>
      <x:c r="H52" s="1" t="s">
        <x:v>148</x:v>
      </x:c>
      <x:c r="I52" s="1" t="s">
        <x:v>134</x:v>
      </x:c>
      <x:c r="J52" s="1" t="s">
        <x:v>3</x:v>
      </x:c>
      <x:c r="K52" s="1" t="s">
        <x:v>3</x:v>
      </x:c>
      <x:c r="L52" s="1" t="s">
        <x:v>135</x:v>
      </x:c>
      <x:c r="M52" s="1" t="s">
        <x:v>3</x:v>
      </x:c>
      <x:c r="N52" s="1" t="s">
        <x:v>3</x:v>
      </x:c>
      <x:c r="O52" s="1">
        <x:v>14</x:v>
      </x:c>
      <x:c r="P52" s="1">
        <x:v>6720</x:v>
      </x:c>
      <x:c r="Q52" s="1">
        <x:v>21</x:v>
      </x:c>
      <x:c r="R52" s="4" t="b">
        <x:v>1</x:v>
      </x:c>
      <x:c r="S52" s="1">
        <x:v>1</x:v>
      </x:c>
      <x:c r="T52" s="1">
        <x:v>1</x:v>
      </x:c>
      <x:c r="U52" s="1">
        <x:v>1</x:v>
      </x:c>
      <x:c r="V52" s="1">
        <x:v>0</x:v>
      </x:c>
      <x:c r="W52" s="1">
        <x:v>0</x:v>
      </x:c>
      <x:c r="X52" s="1">
        <x:v>1</x:v>
      </x:c>
      <x:c r="Y52" s="1">
        <x:v>0</x:v>
      </x:c>
      <x:c r="Z52" s="1" t="s">
        <x:v>136</x:v>
      </x:c>
      <x:c r="AA52" s="1" t="s">
        <x:v>136</x:v>
      </x:c>
      <x:c r="AB52" s="1" t="s">
        <x:v>137</x:v>
      </x:c>
      <x:c r="AC52" s="1" t="s">
        <x:v>138</x:v>
      </x:c>
    </x:row>
    <x:row r="53" ht="55.04999923706055" customHeight="1">
      <x:c r="A53" s="1" t="s">
        <x:v>54</x:v>
      </x:c>
      <x:c r="B53" s="1" t="str">
        <x:v>Scenario 052</x:v>
      </x:c>
      <x:c r="C53" s="1" t="str">
        <x:v>Synthetic domain-informed scenario</x:v>
      </x:c>
      <x:c r="D53" s="1">
        <x:v>30</x:v>
      </x:c>
      <x:c r="E53" s="1">
        <x:v>551000</x:v>
      </x:c>
      <x:c r="F53" s="1">
        <x:v>868</x:v>
      </x:c>
      <x:c r="G53" s="1" t="s">
        <x:v>132</x:v>
      </x:c>
      <x:c r="H53" s="1" t="s">
        <x:v>133</x:v>
      </x:c>
      <x:c r="I53" s="1" t="s">
        <x:v>142</x:v>
      </x:c>
      <x:c r="J53" s="1" t="s">
        <x:v>7</x:v>
      </x:c>
      <x:c r="K53" s="1" t="s">
        <x:v>1</x:v>
      </x:c>
      <x:c r="L53" s="1" t="s">
        <x:v>145</x:v>
      </x:c>
      <x:c r="M53" s="1" t="s">
        <x:v>7</x:v>
      </x:c>
      <x:c r="N53" s="1" t="s">
        <x:v>7</x:v>
      </x:c>
      <x:c r="O53" s="1">
        <x:v>9</x:v>
      </x:c>
      <x:c r="P53" s="1">
        <x:v>4320</x:v>
      </x:c>
      <x:c r="Q53" s="1">
        <x:v>22</x:v>
      </x:c>
      <x:c r="R53" s="4" t="b">
        <x:v>1</x:v>
      </x:c>
      <x:c r="S53" s="1">
        <x:v>1</x:v>
      </x:c>
      <x:c r="T53" s="1">
        <x:v>1</x:v>
      </x:c>
      <x:c r="U53" s="1">
        <x:v>0</x:v>
      </x:c>
      <x:c r="V53" s="1">
        <x:v>0</x:v>
      </x:c>
      <x:c r="W53" s="1">
        <x:v>1</x:v>
      </x:c>
      <x:c r="X53" s="1">
        <x:v>0</x:v>
      </x:c>
      <x:c r="Y53" s="1">
        <x:v>0</x:v>
      </x:c>
      <x:c r="Z53" s="1" t="s">
        <x:v>136</x:v>
      </x:c>
      <x:c r="AA53" s="1" t="s">
        <x:v>136</x:v>
      </x:c>
      <x:c r="AB53" s="1" t="s">
        <x:v>137</x:v>
      </x:c>
      <x:c r="AC53" s="1" t="s">
        <x:v>138</x:v>
      </x:c>
    </x:row>
    <x:row r="54" ht="55.04999923706055" customHeight="1">
      <x:c r="A54" s="1" t="s">
        <x:v>55</x:v>
      </x:c>
      <x:c r="B54" s="1" t="str">
        <x:v>Scenario 053</x:v>
      </x:c>
      <x:c r="C54" s="1" t="str">
        <x:v>Synthetic domain-informed scenario</x:v>
      </x:c>
      <x:c r="D54" s="1">
        <x:v>22</x:v>
      </x:c>
      <x:c r="E54" s="1">
        <x:v>120000</x:v>
      </x:c>
      <x:c r="F54" s="1">
        <x:v>1788</x:v>
      </x:c>
      <x:c r="G54" s="1" t="s">
        <x:v>143</x:v>
      </x:c>
      <x:c r="H54" s="1" t="s">
        <x:v>144</x:v>
      </x:c>
      <x:c r="I54" s="1" t="s">
        <x:v>151</x:v>
      </x:c>
      <x:c r="J54" s="1" t="s">
        <x:v>7</x:v>
      </x:c>
      <x:c r="K54" s="1" t="s">
        <x:v>1</x:v>
      </x:c>
      <x:c r="L54" s="1" t="s">
        <x:v>145</x:v>
      </x:c>
      <x:c r="M54" s="1" t="s">
        <x:v>7</x:v>
      </x:c>
      <x:c r="N54" s="1" t="s">
        <x:v>7</x:v>
      </x:c>
      <x:c r="O54" s="1">
        <x:v>8</x:v>
      </x:c>
      <x:c r="P54" s="1">
        <x:v>3840</x:v>
      </x:c>
      <x:c r="Q54" s="1">
        <x:v>26</x:v>
      </x:c>
      <x:c r="R54" s="4" t="b">
        <x:v>1</x:v>
      </x:c>
      <x:c r="S54" s="1">
        <x:v>0</x:v>
      </x:c>
      <x:c r="T54" s="1">
        <x:v>0</x:v>
      </x:c>
      <x:c r="U54" s="1">
        <x:v>0</x:v>
      </x:c>
      <x:c r="V54" s="1">
        <x:v>0</x:v>
      </x:c>
      <x:c r="W54" s="1">
        <x:v>1</x:v>
      </x:c>
      <x:c r="X54" s="1">
        <x:v>0</x:v>
      </x:c>
      <x:c r="Y54" s="1">
        <x:v>0</x:v>
      </x:c>
      <x:c r="Z54" s="1" t="s">
        <x:v>136</x:v>
      </x:c>
      <x:c r="AA54" s="1" t="s">
        <x:v>136</x:v>
      </x:c>
      <x:c r="AB54" s="1" t="s">
        <x:v>136</x:v>
      </x:c>
      <x:c r="AC54" s="1" t="s">
        <x:v>138</x:v>
      </x:c>
    </x:row>
    <x:row r="55" ht="55.04999923706055" customHeight="1">
      <x:c r="A55" s="1" t="s">
        <x:v>56</x:v>
      </x:c>
      <x:c r="B55" s="1" t="str">
        <x:v>Scenario 054</x:v>
      </x:c>
      <x:c r="C55" s="1" t="str">
        <x:v>Synthetic domain-informed scenario</x:v>
      </x:c>
      <x:c r="D55" s="1">
        <x:v>43</x:v>
      </x:c>
      <x:c r="E55" s="1">
        <x:v>142000</x:v>
      </x:c>
      <x:c r="F55" s="1">
        <x:v>319</x:v>
      </x:c>
      <x:c r="G55" s="1" t="s">
        <x:v>146</x:v>
      </x:c>
      <x:c r="H55" s="1" t="s">
        <x:v>148</x:v>
      </x:c>
      <x:c r="I55" s="1" t="s">
        <x:v>141</x:v>
      </x:c>
      <x:c r="J55" s="1" t="s">
        <x:v>7</x:v>
      </x:c>
      <x:c r="K55" s="1" t="s">
        <x:v>3</x:v>
      </x:c>
      <x:c r="L55" s="1" t="s">
        <x:v>135</x:v>
      </x:c>
      <x:c r="M55" s="1" t="s">
        <x:v>3</x:v>
      </x:c>
      <x:c r="N55" s="1" t="s">
        <x:v>3</x:v>
      </x:c>
      <x:c r="O55" s="1">
        <x:v>15</x:v>
      </x:c>
      <x:c r="P55" s="1">
        <x:v>7200</x:v>
      </x:c>
      <x:c r="Q55" s="1">
        <x:v>25</x:v>
      </x:c>
      <x:c r="R55" s="4" t="b">
        <x:v>1</x:v>
      </x:c>
      <x:c r="S55" s="1">
        <x:v>1</x:v>
      </x:c>
      <x:c r="T55" s="1">
        <x:v>1</x:v>
      </x:c>
      <x:c r="U55" s="1">
        <x:v>1</x:v>
      </x:c>
      <x:c r="V55" s="1">
        <x:v>0</x:v>
      </x:c>
      <x:c r="W55" s="1">
        <x:v>0</x:v>
      </x:c>
      <x:c r="X55" s="1">
        <x:v>1</x:v>
      </x:c>
      <x:c r="Y55" s="1">
        <x:v>0</x:v>
      </x:c>
      <x:c r="Z55" s="1" t="s">
        <x:v>136</x:v>
      </x:c>
      <x:c r="AA55" s="1" t="s">
        <x:v>136</x:v>
      </x:c>
      <x:c r="AB55" s="1" t="s">
        <x:v>137</x:v>
      </x:c>
      <x:c r="AC55" s="1" t="s">
        <x:v>138</x:v>
      </x:c>
    </x:row>
    <x:row r="56" ht="55.04999923706055" customHeight="1">
      <x:c r="A56" s="1" t="s">
        <x:v>57</x:v>
      </x:c>
      <x:c r="B56" s="1" t="str">
        <x:v>Scenario 055</x:v>
      </x:c>
      <x:c r="C56" s="1" t="str">
        <x:v>Synthetic domain-informed scenario</x:v>
      </x:c>
      <x:c r="D56" s="1">
        <x:v>48</x:v>
      </x:c>
      <x:c r="E56" s="1">
        <x:v>326000</x:v>
      </x:c>
      <x:c r="F56" s="1">
        <x:v>1375</x:v>
      </x:c>
      <x:c r="G56" s="1" t="s">
        <x:v>146</x:v>
      </x:c>
      <x:c r="H56" s="1" t="s">
        <x:v>148</x:v>
      </x:c>
      <x:c r="I56" s="1" t="s">
        <x:v>134</x:v>
      </x:c>
      <x:c r="J56" s="1" t="s">
        <x:v>7</x:v>
      </x:c>
      <x:c r="K56" s="1" t="s">
        <x:v>3</x:v>
      </x:c>
      <x:c r="L56" s="1" t="s">
        <x:v>135</x:v>
      </x:c>
      <x:c r="M56" s="1" t="s">
        <x:v>3</x:v>
      </x:c>
      <x:c r="N56" s="1" t="s">
        <x:v>3</x:v>
      </x:c>
      <x:c r="O56" s="1">
        <x:v>16</x:v>
      </x:c>
      <x:c r="P56" s="1">
        <x:v>7680</x:v>
      </x:c>
      <x:c r="Q56" s="1">
        <x:v>26</x:v>
      </x:c>
      <x:c r="R56" s="4" t="b">
        <x:v>1</x:v>
      </x:c>
      <x:c r="S56" s="1">
        <x:v>1</x:v>
      </x:c>
      <x:c r="T56" s="1">
        <x:v>1</x:v>
      </x:c>
      <x:c r="U56" s="1">
        <x:v>1</x:v>
      </x:c>
      <x:c r="V56" s="1">
        <x:v>0</x:v>
      </x:c>
      <x:c r="W56" s="1">
        <x:v>0</x:v>
      </x:c>
      <x:c r="X56" s="1">
        <x:v>1</x:v>
      </x:c>
      <x:c r="Y56" s="1">
        <x:v>0</x:v>
      </x:c>
      <x:c r="Z56" s="1" t="s">
        <x:v>136</x:v>
      </x:c>
      <x:c r="AA56" s="1" t="s">
        <x:v>136</x:v>
      </x:c>
      <x:c r="AB56" s="1" t="s">
        <x:v>137</x:v>
      </x:c>
      <x:c r="AC56" s="1" t="s">
        <x:v>138</x:v>
      </x:c>
    </x:row>
    <x:row r="57" ht="55.04999923706055" customHeight="1">
      <x:c r="A57" s="1" t="s">
        <x:v>58</x:v>
      </x:c>
      <x:c r="B57" s="1" t="str">
        <x:v>Scenario 056</x:v>
      </x:c>
      <x:c r="C57" s="1" t="str">
        <x:v>Synthetic domain-informed scenario</x:v>
      </x:c>
      <x:c r="D57" s="1">
        <x:v>112</x:v>
      </x:c>
      <x:c r="E57" s="1">
        <x:v>2760000</x:v>
      </x:c>
      <x:c r="F57" s="1">
        <x:v>7219</x:v>
      </x:c>
      <x:c r="G57" s="1" t="s">
        <x:v>146</x:v>
      </x:c>
      <x:c r="H57" s="1" t="s">
        <x:v>148</x:v>
      </x:c>
      <x:c r="I57" s="1" t="s">
        <x:v>141</x:v>
      </x:c>
      <x:c r="J57" s="1" t="s">
        <x:v>7</x:v>
      </x:c>
      <x:c r="K57" s="1" t="s">
        <x:v>3</x:v>
      </x:c>
      <x:c r="L57" s="1" t="s">
        <x:v>135</x:v>
      </x:c>
      <x:c r="M57" s="1" t="s">
        <x:v>3</x:v>
      </x:c>
      <x:c r="N57" s="1" t="s">
        <x:v>3</x:v>
      </x:c>
      <x:c r="O57" s="1">
        <x:v>21</x:v>
      </x:c>
      <x:c r="P57" s="1">
        <x:v>10080</x:v>
      </x:c>
      <x:c r="Q57" s="1">
        <x:v>37</x:v>
      </x:c>
      <x:c r="R57" s="4" t="b">
        <x:v>1</x:v>
      </x:c>
      <x:c r="S57" s="1">
        <x:v>1</x:v>
      </x:c>
      <x:c r="T57" s="1">
        <x:v>1</x:v>
      </x:c>
      <x:c r="U57" s="1">
        <x:v>1</x:v>
      </x:c>
      <x:c r="V57" s="1">
        <x:v>0</x:v>
      </x:c>
      <x:c r="W57" s="1">
        <x:v>0</x:v>
      </x:c>
      <x:c r="X57" s="1">
        <x:v>1</x:v>
      </x:c>
      <x:c r="Y57" s="1">
        <x:v>0</x:v>
      </x:c>
      <x:c r="Z57" s="1" t="s">
        <x:v>136</x:v>
      </x:c>
      <x:c r="AA57" s="1" t="s">
        <x:v>136</x:v>
      </x:c>
      <x:c r="AB57" s="1" t="s">
        <x:v>137</x:v>
      </x:c>
      <x:c r="AC57" s="1" t="s">
        <x:v>138</x:v>
      </x:c>
    </x:row>
    <x:row r="58" ht="55.04999923706055" customHeight="1">
      <x:c r="A58" s="1" t="s">
        <x:v>59</x:v>
      </x:c>
      <x:c r="B58" s="1" t="str">
        <x:v>Scenario 057</x:v>
      </x:c>
      <x:c r="C58" s="1" t="str">
        <x:v>Synthetic domain-informed scenario</x:v>
      </x:c>
      <x:c r="D58" s="1">
        <x:v>15</x:v>
      </x:c>
      <x:c r="E58" s="1">
        <x:v>151000</x:v>
      </x:c>
      <x:c r="F58" s="1">
        <x:v>2070</x:v>
      </x:c>
      <x:c r="G58" s="1" t="s">
        <x:v>152</x:v>
      </x:c>
      <x:c r="H58" s="1" t="s">
        <x:v>144</x:v>
      </x:c>
      <x:c r="I58" s="1" t="s">
        <x:v>142</x:v>
      </x:c>
      <x:c r="J58" s="1" t="s">
        <x:v>7</x:v>
      </x:c>
      <x:c r="K58" s="1" t="s">
        <x:v>3</x:v>
      </x:c>
      <x:c r="L58" s="1" t="s">
        <x:v>145</x:v>
      </x:c>
      <x:c r="M58" s="1" t="s">
        <x:v>1</x:v>
      </x:c>
      <x:c r="N58" s="1" t="s">
        <x:v>1</x:v>
      </x:c>
      <x:c r="O58" s="1">
        <x:v>13</x:v>
      </x:c>
      <x:c r="P58" s="1">
        <x:v>6240</x:v>
      </x:c>
      <x:c r="Q58" s="1">
        <x:v>40</x:v>
      </x:c>
      <x:c r="R58" s="4" t="b">
        <x:v>1</x:v>
      </x:c>
      <x:c r="S58" s="1">
        <x:v>0</x:v>
      </x:c>
      <x:c r="T58" s="1">
        <x:v>0</x:v>
      </x:c>
      <x:c r="U58" s="1">
        <x:v>0</x:v>
      </x:c>
      <x:c r="V58" s="1">
        <x:v>0</x:v>
      </x:c>
      <x:c r="W58" s="1">
        <x:v>1</x:v>
      </x:c>
      <x:c r="X58" s="1">
        <x:v>0</x:v>
      </x:c>
      <x:c r="Y58" s="1">
        <x:v>0</x:v>
      </x:c>
      <x:c r="Z58" s="1" t="s">
        <x:v>136</x:v>
      </x:c>
      <x:c r="AA58" s="1" t="s">
        <x:v>136</x:v>
      </x:c>
      <x:c r="AB58" s="1" t="s">
        <x:v>136</x:v>
      </x:c>
      <x:c r="AC58" s="1" t="s">
        <x:v>138</x:v>
      </x:c>
    </x:row>
    <x:row r="59" ht="55.04999923706055" customHeight="1">
      <x:c r="A59" s="1" t="s">
        <x:v>60</x:v>
      </x:c>
      <x:c r="B59" s="1" t="str">
        <x:v>Scenario 058</x:v>
      </x:c>
      <x:c r="C59" s="1" t="str">
        <x:v>Synthetic domain-informed scenario</x:v>
      </x:c>
      <x:c r="D59" s="1">
        <x:v>29</x:v>
      </x:c>
      <x:c r="E59" s="1">
        <x:v>56000</x:v>
      </x:c>
      <x:c r="F59" s="1">
        <x:v>2117</x:v>
      </x:c>
      <x:c r="G59" s="1" t="s">
        <x:v>152</x:v>
      </x:c>
      <x:c r="H59" s="1" t="s">
        <x:v>144</x:v>
      </x:c>
      <x:c r="I59" s="1" t="s">
        <x:v>141</x:v>
      </x:c>
      <x:c r="J59" s="1" t="s">
        <x:v>3</x:v>
      </x:c>
      <x:c r="K59" s="1" t="s">
        <x:v>7</x:v>
      </x:c>
      <x:c r="L59" s="1" t="s">
        <x:v>135</x:v>
      </x:c>
      <x:c r="M59" s="1" t="s">
        <x:v>3</x:v>
      </x:c>
      <x:c r="N59" s="1" t="s">
        <x:v>1</x:v>
      </x:c>
      <x:c r="O59" s="1">
        <x:v>7</x:v>
      </x:c>
      <x:c r="P59" s="1">
        <x:v>3360</x:v>
      </x:c>
      <x:c r="Q59" s="1">
        <x:v>34</x:v>
      </x:c>
      <x:c r="R59" s="4" t="b">
        <x:v>0</x:v>
      </x:c>
      <x:c r="S59" s="1">
        <x:v>0</x:v>
      </x:c>
      <x:c r="T59" s="1">
        <x:v>0</x:v>
      </x:c>
      <x:c r="U59" s="1">
        <x:v>0</x:v>
      </x:c>
      <x:c r="V59" s="1">
        <x:v>0</x:v>
      </x:c>
      <x:c r="W59" s="1">
        <x:v>1</x:v>
      </x:c>
      <x:c r="X59" s="1">
        <x:v>0</x:v>
      </x:c>
      <x:c r="Y59" s="1">
        <x:v>0</x:v>
      </x:c>
      <x:c r="Z59" s="1" t="s">
        <x:v>136</x:v>
      </x:c>
      <x:c r="AA59" s="1" t="s">
        <x:v>136</x:v>
      </x:c>
      <x:c r="AB59" s="1" t="s">
        <x:v>136</x:v>
      </x:c>
      <x:c r="AC59" s="1" t="s">
        <x:v>138</x:v>
      </x:c>
    </x:row>
    <x:row r="60" ht="55.04999923706055" customHeight="1">
      <x:c r="A60" s="1" t="s">
        <x:v>61</x:v>
      </x:c>
      <x:c r="B60" s="1" t="str">
        <x:v>Scenario 059</x:v>
      </x:c>
      <x:c r="C60" s="1" t="str">
        <x:v>Synthetic domain-informed scenario</x:v>
      </x:c>
      <x:c r="D60" s="1">
        <x:v>51</x:v>
      </x:c>
      <x:c r="E60" s="1">
        <x:v>66000</x:v>
      </x:c>
      <x:c r="F60" s="1">
        <x:v>3244</x:v>
      </x:c>
      <x:c r="G60" s="1" t="s">
        <x:v>152</x:v>
      </x:c>
      <x:c r="H60" s="1" t="s">
        <x:v>144</x:v>
      </x:c>
      <x:c r="I60" s="1" t="s">
        <x:v>151</x:v>
      </x:c>
      <x:c r="J60" s="1" t="s">
        <x:v>7</x:v>
      </x:c>
      <x:c r="K60" s="1" t="s">
        <x:v>1</x:v>
      </x:c>
      <x:c r="L60" s="1" t="s">
        <x:v>145</x:v>
      </x:c>
      <x:c r="M60" s="1" t="s">
        <x:v>1</x:v>
      </x:c>
      <x:c r="N60" s="1" t="s">
        <x:v>1</x:v>
      </x:c>
      <x:c r="O60" s="1">
        <x:v>15</x:v>
      </x:c>
      <x:c r="P60" s="1">
        <x:v>7200</x:v>
      </x:c>
      <x:c r="Q60" s="1">
        <x:v>38</x:v>
      </x:c>
      <x:c r="R60" s="4" t="b">
        <x:v>1</x:v>
      </x:c>
      <x:c r="S60" s="1">
        <x:v>0</x:v>
      </x:c>
      <x:c r="T60" s="1">
        <x:v>0</x:v>
      </x:c>
      <x:c r="U60" s="1">
        <x:v>0</x:v>
      </x:c>
      <x:c r="V60" s="1">
        <x:v>0</x:v>
      </x:c>
      <x:c r="W60" s="1">
        <x:v>1</x:v>
      </x:c>
      <x:c r="X60" s="1">
        <x:v>0</x:v>
      </x:c>
      <x:c r="Y60" s="1">
        <x:v>0</x:v>
      </x:c>
      <x:c r="Z60" s="1" t="s">
        <x:v>136</x:v>
      </x:c>
      <x:c r="AA60" s="1" t="s">
        <x:v>136</x:v>
      </x:c>
      <x:c r="AB60" s="1" t="s">
        <x:v>136</x:v>
      </x:c>
      <x:c r="AC60" s="1" t="s">
        <x:v>138</x:v>
      </x:c>
    </x:row>
    <x:row r="61" ht="55.04999923706055" customHeight="1">
      <x:c r="A61" s="1" t="s">
        <x:v>62</x:v>
      </x:c>
      <x:c r="B61" s="1" t="str">
        <x:v>Scenario 060</x:v>
      </x:c>
      <x:c r="C61" s="1" t="str">
        <x:v>Synthetic domain-informed scenario</x:v>
      </x:c>
      <x:c r="D61" s="1">
        <x:v>62</x:v>
      </x:c>
      <x:c r="E61" s="1">
        <x:v>105000</x:v>
      </x:c>
      <x:c r="F61" s="1">
        <x:v>730</x:v>
      </x:c>
      <x:c r="G61" s="1" t="s">
        <x:v>152</x:v>
      </x:c>
      <x:c r="H61" s="1" t="s">
        <x:v>144</x:v>
      </x:c>
      <x:c r="I61" s="1" t="s">
        <x:v>153</x:v>
      </x:c>
      <x:c r="J61" s="1" t="s">
        <x:v>7</x:v>
      </x:c>
      <x:c r="K61" s="1" t="s">
        <x:v>7</x:v>
      </x:c>
      <x:c r="L61" s="1" t="s">
        <x:v>135</x:v>
      </x:c>
      <x:c r="M61" s="1" t="s">
        <x:v>1</x:v>
      </x:c>
      <x:c r="N61" s="1" t="s">
        <x:v>1</x:v>
      </x:c>
      <x:c r="O61" s="1">
        <x:v>11</x:v>
      </x:c>
      <x:c r="P61" s="1">
        <x:v>5280</x:v>
      </x:c>
      <x:c r="Q61" s="1">
        <x:v>28</x:v>
      </x:c>
      <x:c r="R61" s="4" t="b">
        <x:v>1</x:v>
      </x:c>
      <x:c r="S61" s="1">
        <x:v>0</x:v>
      </x:c>
      <x:c r="T61" s="1">
        <x:v>0</x:v>
      </x:c>
      <x:c r="U61" s="1">
        <x:v>0</x:v>
      </x:c>
      <x:c r="V61" s="1">
        <x:v>0</x:v>
      </x:c>
      <x:c r="W61" s="1">
        <x:v>1</x:v>
      </x:c>
      <x:c r="X61" s="1">
        <x:v>0</x:v>
      </x:c>
      <x:c r="Y61" s="1">
        <x:v>0</x:v>
      </x:c>
      <x:c r="Z61" s="1" t="s">
        <x:v>136</x:v>
      </x:c>
      <x:c r="AA61" s="1" t="s">
        <x:v>136</x:v>
      </x:c>
      <x:c r="AB61" s="1" t="s">
        <x:v>136</x:v>
      </x:c>
      <x:c r="AC61" s="1" t="s">
        <x:v>138</x:v>
      </x:c>
    </x:row>
    <x:row r="62" ht="55.04999923706055" customHeight="1">
      <x:c r="A62" s="1" t="s">
        <x:v>63</x:v>
      </x:c>
      <x:c r="B62" s="1" t="str">
        <x:v>Scenario 061</x:v>
      </x:c>
      <x:c r="C62" s="1" t="str">
        <x:v>Synthetic domain-informed scenario</x:v>
      </x:c>
      <x:c r="D62" s="1">
        <x:v>67</x:v>
      </x:c>
      <x:c r="E62" s="1">
        <x:v>77000</x:v>
      </x:c>
      <x:c r="F62" s="1">
        <x:v>1631</x:v>
      </x:c>
      <x:c r="G62" s="1" t="s">
        <x:v>152</x:v>
      </x:c>
      <x:c r="H62" s="1" t="s">
        <x:v>144</x:v>
      </x:c>
      <x:c r="I62" s="1" t="s">
        <x:v>142</x:v>
      </x:c>
      <x:c r="J62" s="1" t="s">
        <x:v>3</x:v>
      </x:c>
      <x:c r="K62" s="1" t="s">
        <x:v>7</x:v>
      </x:c>
      <x:c r="L62" s="1" t="s">
        <x:v>135</x:v>
      </x:c>
      <x:c r="M62" s="1" t="s">
        <x:v>3</x:v>
      </x:c>
      <x:c r="N62" s="1" t="s">
        <x:v>1</x:v>
      </x:c>
      <x:c r="O62" s="1">
        <x:v>10</x:v>
      </x:c>
      <x:c r="P62" s="1">
        <x:v>4800</x:v>
      </x:c>
      <x:c r="Q62" s="1">
        <x:v>35</x:v>
      </x:c>
      <x:c r="R62" s="4" t="b">
        <x:v>0</x:v>
      </x:c>
      <x:c r="S62" s="1">
        <x:v>0</x:v>
      </x:c>
      <x:c r="T62" s="1">
        <x:v>0</x:v>
      </x:c>
      <x:c r="U62" s="1">
        <x:v>0</x:v>
      </x:c>
      <x:c r="V62" s="1">
        <x:v>0</x:v>
      </x:c>
      <x:c r="W62" s="1">
        <x:v>1</x:v>
      </x:c>
      <x:c r="X62" s="1">
        <x:v>0</x:v>
      </x:c>
      <x:c r="Y62" s="1">
        <x:v>0</x:v>
      </x:c>
      <x:c r="Z62" s="1" t="s">
        <x:v>136</x:v>
      </x:c>
      <x:c r="AA62" s="1" t="s">
        <x:v>136</x:v>
      </x:c>
      <x:c r="AB62" s="1" t="s">
        <x:v>136</x:v>
      </x:c>
      <x:c r="AC62" s="1" t="s">
        <x:v>138</x:v>
      </x:c>
    </x:row>
    <x:row r="63" ht="55.04999923706055" customHeight="1">
      <x:c r="A63" s="1" t="s">
        <x:v>64</x:v>
      </x:c>
      <x:c r="B63" s="1" t="str">
        <x:v>Scenario 062</x:v>
      </x:c>
      <x:c r="C63" s="1" t="str">
        <x:v>Synthetic domain-informed scenario</x:v>
      </x:c>
      <x:c r="D63" s="1">
        <x:v>16</x:v>
      </x:c>
      <x:c r="E63" s="1">
        <x:v>52000</x:v>
      </x:c>
      <x:c r="F63" s="1">
        <x:v>1814</x:v>
      </x:c>
      <x:c r="G63" s="1" t="s">
        <x:v>132</x:v>
      </x:c>
      <x:c r="H63" s="1" t="s">
        <x:v>133</x:v>
      </x:c>
      <x:c r="I63" s="1" t="s">
        <x:v>134</x:v>
      </x:c>
      <x:c r="J63" s="1" t="s">
        <x:v>7</x:v>
      </x:c>
      <x:c r="K63" s="1" t="s">
        <x:v>1</x:v>
      </x:c>
      <x:c r="L63" s="1" t="s">
        <x:v>145</x:v>
      </x:c>
      <x:c r="M63" s="1" t="s">
        <x:v>7</x:v>
      </x:c>
      <x:c r="N63" s="1" t="s">
        <x:v>7</x:v>
      </x:c>
      <x:c r="O63" s="1">
        <x:v>10</x:v>
      </x:c>
      <x:c r="P63" s="1">
        <x:v>4800</x:v>
      </x:c>
      <x:c r="Q63" s="1">
        <x:v>37</x:v>
      </x:c>
      <x:c r="R63" s="4" t="b">
        <x:v>1</x:v>
      </x:c>
      <x:c r="S63" s="1">
        <x:v>1</x:v>
      </x:c>
      <x:c r="T63" s="1">
        <x:v>1</x:v>
      </x:c>
      <x:c r="U63" s="1">
        <x:v>0</x:v>
      </x:c>
      <x:c r="V63" s="1">
        <x:v>0</x:v>
      </x:c>
      <x:c r="W63" s="1">
        <x:v>1</x:v>
      </x:c>
      <x:c r="X63" s="1">
        <x:v>0</x:v>
      </x:c>
      <x:c r="Y63" s="1">
        <x:v>0</x:v>
      </x:c>
      <x:c r="Z63" s="1" t="s">
        <x:v>136</x:v>
      </x:c>
      <x:c r="AA63" s="1" t="s">
        <x:v>136</x:v>
      </x:c>
      <x:c r="AB63" s="1" t="s">
        <x:v>137</x:v>
      </x:c>
      <x:c r="AC63" s="1" t="s">
        <x:v>138</x:v>
      </x:c>
    </x:row>
    <x:row r="64" ht="55.04999923706055" customHeight="1">
      <x:c r="A64" s="1" t="s">
        <x:v>65</x:v>
      </x:c>
      <x:c r="B64" s="1" t="str">
        <x:v>Scenario 063</x:v>
      </x:c>
      <x:c r="C64" s="1" t="str">
        <x:v>Synthetic domain-informed scenario</x:v>
      </x:c>
      <x:c r="D64" s="1">
        <x:v>22</x:v>
      </x:c>
      <x:c r="E64" s="1">
        <x:v>46000</x:v>
      </x:c>
      <x:c r="F64" s="1">
        <x:v>541</x:v>
      </x:c>
      <x:c r="G64" s="1" t="s">
        <x:v>149</x:v>
      </x:c>
      <x:c r="H64" s="1" t="s">
        <x:v>150</x:v>
      </x:c>
      <x:c r="I64" s="1" t="s">
        <x:v>153</x:v>
      </x:c>
      <x:c r="J64" s="1" t="s">
        <x:v>3</x:v>
      </x:c>
      <x:c r="K64" s="1" t="s">
        <x:v>1</x:v>
      </x:c>
      <x:c r="L64" s="1" t="s">
        <x:v>145</x:v>
      </x:c>
      <x:c r="M64" s="1" t="s">
        <x:v>1</x:v>
      </x:c>
      <x:c r="N64" s="1" t="s">
        <x:v>1</x:v>
      </x:c>
      <x:c r="O64" s="1">
        <x:v>8</x:v>
      </x:c>
      <x:c r="P64" s="1">
        <x:v>3840</x:v>
      </x:c>
      <x:c r="Q64" s="1">
        <x:v>30</x:v>
      </x:c>
      <x:c r="R64" s="4" t="b">
        <x:v>1</x:v>
      </x:c>
      <x:c r="S64" s="1">
        <x:v>1</x:v>
      </x:c>
      <x:c r="T64" s="1">
        <x:v>1</x:v>
      </x:c>
      <x:c r="U64" s="1">
        <x:v>0</x:v>
      </x:c>
      <x:c r="V64" s="1">
        <x:v>0</x:v>
      </x:c>
      <x:c r="W64" s="1">
        <x:v>0</x:v>
      </x:c>
      <x:c r="X64" s="1">
        <x:v>0</x:v>
      </x:c>
      <x:c r="Y64" s="1">
        <x:v>0</x:v>
      </x:c>
      <x:c r="Z64" s="1" t="s">
        <x:v>136</x:v>
      </x:c>
      <x:c r="AA64" s="1" t="s">
        <x:v>136</x:v>
      </x:c>
      <x:c r="AB64" s="1" t="s">
        <x:v>137</x:v>
      </x:c>
      <x:c r="AC64" s="1" t="s">
        <x:v>138</x:v>
      </x:c>
    </x:row>
    <x:row r="65" ht="55.04999923706055" customHeight="1">
      <x:c r="A65" s="1" t="s">
        <x:v>66</x:v>
      </x:c>
      <x:c r="B65" s="1" t="str">
        <x:v>Scenario 064</x:v>
      </x:c>
      <x:c r="C65" s="1" t="str">
        <x:v>Synthetic domain-informed scenario</x:v>
      </x:c>
      <x:c r="D65" s="1">
        <x:v>105</x:v>
      </x:c>
      <x:c r="E65" s="1">
        <x:v>1285000</x:v>
      </x:c>
      <x:c r="F65" s="1">
        <x:v>7442</x:v>
      </x:c>
      <x:c r="G65" s="1" t="s">
        <x:v>152</x:v>
      </x:c>
      <x:c r="H65" s="1" t="s">
        <x:v>144</x:v>
      </x:c>
      <x:c r="I65" s="1" t="s">
        <x:v>151</x:v>
      </x:c>
      <x:c r="J65" s="1" t="s">
        <x:v>7</x:v>
      </x:c>
      <x:c r="K65" s="1" t="s">
        <x:v>7</x:v>
      </x:c>
      <x:c r="L65" s="1" t="s">
        <x:v>145</x:v>
      </x:c>
      <x:c r="M65" s="1" t="s">
        <x:v>1</x:v>
      </x:c>
      <x:c r="N65" s="1" t="s">
        <x:v>7</x:v>
      </x:c>
      <x:c r="O65" s="1">
        <x:v>14</x:v>
      </x:c>
      <x:c r="P65" s="1">
        <x:v>6720</x:v>
      </x:c>
      <x:c r="Q65" s="1">
        <x:v>23</x:v>
      </x:c>
      <x:c r="R65" s="4" t="b">
        <x:v>0</x:v>
      </x:c>
      <x:c r="S65" s="1">
        <x:v>0</x:v>
      </x:c>
      <x:c r="T65" s="1">
        <x:v>0</x:v>
      </x:c>
      <x:c r="U65" s="1">
        <x:v>0</x:v>
      </x:c>
      <x:c r="V65" s="1">
        <x:v>0</x:v>
      </x:c>
      <x:c r="W65" s="1">
        <x:v>1</x:v>
      </x:c>
      <x:c r="X65" s="1">
        <x:v>0</x:v>
      </x:c>
      <x:c r="Y65" s="1">
        <x:v>0</x:v>
      </x:c>
      <x:c r="Z65" s="1" t="s">
        <x:v>136</x:v>
      </x:c>
      <x:c r="AA65" s="1" t="s">
        <x:v>136</x:v>
      </x:c>
      <x:c r="AB65" s="1" t="s">
        <x:v>136</x:v>
      </x:c>
      <x:c r="AC65" s="1" t="s">
        <x:v>138</x:v>
      </x:c>
    </x:row>
    <x:row r="66" ht="55.04999923706055" customHeight="1">
      <x:c r="A66" s="1" t="s">
        <x:v>67</x:v>
      </x:c>
      <x:c r="B66" s="1" t="str">
        <x:v>Scenario 065</x:v>
      </x:c>
      <x:c r="C66" s="1" t="str">
        <x:v>Synthetic domain-informed scenario</x:v>
      </x:c>
      <x:c r="D66" s="1">
        <x:v>39</x:v>
      </x:c>
      <x:c r="E66" s="1">
        <x:v>375000</x:v>
      </x:c>
      <x:c r="F66" s="1">
        <x:v>2134</x:v>
      </x:c>
      <x:c r="G66" s="1" t="s">
        <x:v>149</x:v>
      </x:c>
      <x:c r="H66" s="1" t="s">
        <x:v>150</x:v>
      </x:c>
      <x:c r="I66" s="1" t="s">
        <x:v>141</x:v>
      </x:c>
      <x:c r="J66" s="1" t="s">
        <x:v>7</x:v>
      </x:c>
      <x:c r="K66" s="1" t="s">
        <x:v>1</x:v>
      </x:c>
      <x:c r="L66" s="1" t="s">
        <x:v>145</x:v>
      </x:c>
      <x:c r="M66" s="1" t="s">
        <x:v>1</x:v>
      </x:c>
      <x:c r="N66" s="1" t="s">
        <x:v>1</x:v>
      </x:c>
      <x:c r="O66" s="1">
        <x:v>11</x:v>
      </x:c>
      <x:c r="P66" s="1">
        <x:v>5280</x:v>
      </x:c>
      <x:c r="Q66" s="1">
        <x:v>24</x:v>
      </x:c>
      <x:c r="R66" s="4" t="b">
        <x:v>1</x:v>
      </x:c>
      <x:c r="S66" s="1">
        <x:v>1</x:v>
      </x:c>
      <x:c r="T66" s="1">
        <x:v>1</x:v>
      </x:c>
      <x:c r="U66" s="1">
        <x:v>0</x:v>
      </x:c>
      <x:c r="V66" s="1">
        <x:v>0</x:v>
      </x:c>
      <x:c r="W66" s="1">
        <x:v>0</x:v>
      </x:c>
      <x:c r="X66" s="1">
        <x:v>0</x:v>
      </x:c>
      <x:c r="Y66" s="1">
        <x:v>0</x:v>
      </x:c>
      <x:c r="Z66" s="1" t="s">
        <x:v>136</x:v>
      </x:c>
      <x:c r="AA66" s="1" t="s">
        <x:v>136</x:v>
      </x:c>
      <x:c r="AB66" s="1" t="s">
        <x:v>137</x:v>
      </x:c>
      <x:c r="AC66" s="1" t="s">
        <x:v>138</x:v>
      </x:c>
    </x:row>
    <x:row r="67" ht="55.04999923706055" customHeight="1">
      <x:c r="A67" s="1" t="s">
        <x:v>68</x:v>
      </x:c>
      <x:c r="B67" s="1" t="str">
        <x:v>Scenario 066</x:v>
      </x:c>
      <x:c r="C67" s="1" t="str">
        <x:v>Synthetic domain-informed scenario</x:v>
      </x:c>
      <x:c r="D67" s="1">
        <x:v>18</x:v>
      </x:c>
      <x:c r="E67" s="1">
        <x:v>64000</x:v>
      </x:c>
      <x:c r="F67" s="1">
        <x:v>2447</x:v>
      </x:c>
      <x:c r="G67" s="1" t="s">
        <x:v>143</x:v>
      </x:c>
      <x:c r="H67" s="1" t="s">
        <x:v>144</x:v>
      </x:c>
      <x:c r="I67" s="1" t="s">
        <x:v>134</x:v>
      </x:c>
      <x:c r="J67" s="1" t="s">
        <x:v>3</x:v>
      </x:c>
      <x:c r="K67" s="1" t="s">
        <x:v>1</x:v>
      </x:c>
      <x:c r="L67" s="1" t="s">
        <x:v>135</x:v>
      </x:c>
      <x:c r="M67" s="1" t="s">
        <x:v>3</x:v>
      </x:c>
      <x:c r="N67" s="1" t="s">
        <x:v>1</x:v>
      </x:c>
      <x:c r="O67" s="1">
        <x:v>10</x:v>
      </x:c>
      <x:c r="P67" s="1">
        <x:v>4800</x:v>
      </x:c>
      <x:c r="Q67" s="1">
        <x:v>23</x:v>
      </x:c>
      <x:c r="R67" s="4" t="b">
        <x:v>0</x:v>
      </x:c>
      <x:c r="S67" s="1">
        <x:v>0</x:v>
      </x:c>
      <x:c r="T67" s="1">
        <x:v>0</x:v>
      </x:c>
      <x:c r="U67" s="1">
        <x:v>0</x:v>
      </x:c>
      <x:c r="V67" s="1">
        <x:v>0</x:v>
      </x:c>
      <x:c r="W67" s="1">
        <x:v>1</x:v>
      </x:c>
      <x:c r="X67" s="1">
        <x:v>0</x:v>
      </x:c>
      <x:c r="Y67" s="1">
        <x:v>0</x:v>
      </x:c>
      <x:c r="Z67" s="1" t="s">
        <x:v>136</x:v>
      </x:c>
      <x:c r="AA67" s="1" t="s">
        <x:v>136</x:v>
      </x:c>
      <x:c r="AB67" s="1" t="s">
        <x:v>136</x:v>
      </x:c>
      <x:c r="AC67" s="1" t="s">
        <x:v>138</x:v>
      </x:c>
    </x:row>
    <x:row r="68" ht="55.04999923706055" customHeight="1">
      <x:c r="A68" s="1" t="s">
        <x:v>69</x:v>
      </x:c>
      <x:c r="B68" s="1" t="str">
        <x:v>Scenario 067</x:v>
      </x:c>
      <x:c r="C68" s="1" t="str">
        <x:v>Synthetic domain-informed scenario</x:v>
      </x:c>
      <x:c r="D68" s="1">
        <x:v>47</x:v>
      </x:c>
      <x:c r="E68" s="1">
        <x:v>2803000</x:v>
      </x:c>
      <x:c r="F68" s="1">
        <x:v>10831</x:v>
      </x:c>
      <x:c r="G68" s="1" t="s">
        <x:v>132</x:v>
      </x:c>
      <x:c r="H68" s="1" t="s">
        <x:v>133</x:v>
      </x:c>
      <x:c r="I68" s="1" t="s">
        <x:v>153</x:v>
      </x:c>
      <x:c r="J68" s="1" t="s">
        <x:v>7</x:v>
      </x:c>
      <x:c r="K68" s="1" t="s">
        <x:v>3</x:v>
      </x:c>
      <x:c r="L68" s="1" t="s">
        <x:v>145</x:v>
      </x:c>
      <x:c r="M68" s="1" t="s">
        <x:v>1</x:v>
      </x:c>
      <x:c r="N68" s="1" t="s">
        <x:v>1</x:v>
      </x:c>
      <x:c r="O68" s="1">
        <x:v>17</x:v>
      </x:c>
      <x:c r="P68" s="1">
        <x:v>8160</x:v>
      </x:c>
      <x:c r="Q68" s="1">
        <x:v>23</x:v>
      </x:c>
      <x:c r="R68" s="4" t="b">
        <x:v>1</x:v>
      </x:c>
      <x:c r="S68" s="1">
        <x:v>1</x:v>
      </x:c>
      <x:c r="T68" s="1">
        <x:v>1</x:v>
      </x:c>
      <x:c r="U68" s="1">
        <x:v>0</x:v>
      </x:c>
      <x:c r="V68" s="1">
        <x:v>0</x:v>
      </x:c>
      <x:c r="W68" s="1">
        <x:v>1</x:v>
      </x:c>
      <x:c r="X68" s="1">
        <x:v>0</x:v>
      </x:c>
      <x:c r="Y68" s="1">
        <x:v>0</x:v>
      </x:c>
      <x:c r="Z68" s="1" t="s">
        <x:v>136</x:v>
      </x:c>
      <x:c r="AA68" s="1" t="s">
        <x:v>136</x:v>
      </x:c>
      <x:c r="AB68" s="1" t="s">
        <x:v>137</x:v>
      </x:c>
      <x:c r="AC68" s="1" t="s">
        <x:v>138</x:v>
      </x:c>
    </x:row>
    <x:row r="69" ht="55.04999923706055" customHeight="1">
      <x:c r="A69" s="1" t="s">
        <x:v>70</x:v>
      </x:c>
      <x:c r="B69" s="1" t="str">
        <x:v>Scenario 068</x:v>
      </x:c>
      <x:c r="C69" s="1" t="str">
        <x:v>Synthetic domain-informed scenario</x:v>
      </x:c>
      <x:c r="D69" s="1">
        <x:v>23</x:v>
      </x:c>
      <x:c r="E69" s="1">
        <x:v>57000</x:v>
      </x:c>
      <x:c r="F69" s="1">
        <x:v>1330</x:v>
      </x:c>
      <x:c r="G69" s="1" t="s">
        <x:v>132</x:v>
      </x:c>
      <x:c r="H69" s="1" t="s">
        <x:v>133</x:v>
      </x:c>
      <x:c r="I69" s="1" t="s">
        <x:v>151</x:v>
      </x:c>
      <x:c r="J69" s="1" t="s">
        <x:v>3</x:v>
      </x:c>
      <x:c r="K69" s="1" t="s">
        <x:v>3</x:v>
      </x:c>
      <x:c r="L69" s="1" t="s">
        <x:v>145</x:v>
      </x:c>
      <x:c r="M69" s="1" t="s">
        <x:v>3</x:v>
      </x:c>
      <x:c r="N69" s="1" t="s">
        <x:v>1</x:v>
      </x:c>
      <x:c r="O69" s="1">
        <x:v>14</x:v>
      </x:c>
      <x:c r="P69" s="1">
        <x:v>6720</x:v>
      </x:c>
      <x:c r="Q69" s="1">
        <x:v>29</x:v>
      </x:c>
      <x:c r="R69" s="4" t="b">
        <x:v>0</x:v>
      </x:c>
      <x:c r="S69" s="1">
        <x:v>1</x:v>
      </x:c>
      <x:c r="T69" s="1">
        <x:v>1</x:v>
      </x:c>
      <x:c r="U69" s="1">
        <x:v>0</x:v>
      </x:c>
      <x:c r="V69" s="1">
        <x:v>0</x:v>
      </x:c>
      <x:c r="W69" s="1">
        <x:v>1</x:v>
      </x:c>
      <x:c r="X69" s="1">
        <x:v>0</x:v>
      </x:c>
      <x:c r="Y69" s="1">
        <x:v>0</x:v>
      </x:c>
      <x:c r="Z69" s="1" t="s">
        <x:v>136</x:v>
      </x:c>
      <x:c r="AA69" s="1" t="s">
        <x:v>136</x:v>
      </x:c>
      <x:c r="AB69" s="1" t="s">
        <x:v>137</x:v>
      </x:c>
      <x:c r="AC69" s="1" t="s">
        <x:v>138</x:v>
      </x:c>
    </x:row>
    <x:row r="70" ht="55.04999923706055" customHeight="1">
      <x:c r="A70" s="1" t="s">
        <x:v>71</x:v>
      </x:c>
      <x:c r="B70" s="1" t="str">
        <x:v>Scenario 069</x:v>
      </x:c>
      <x:c r="C70" s="1" t="str">
        <x:v>Synthetic domain-informed scenario</x:v>
      </x:c>
      <x:c r="D70" s="1">
        <x:v>50</x:v>
      </x:c>
      <x:c r="E70" s="1">
        <x:v>130000</x:v>
      </x:c>
      <x:c r="F70" s="1">
        <x:v>498</x:v>
      </x:c>
      <x:c r="G70" s="1" t="s">
        <x:v>146</x:v>
      </x:c>
      <x:c r="H70" s="1" t="s">
        <x:v>148</x:v>
      </x:c>
      <x:c r="I70" s="1" t="s">
        <x:v>134</x:v>
      </x:c>
      <x:c r="J70" s="1" t="s">
        <x:v>3</x:v>
      </x:c>
      <x:c r="K70" s="1" t="s">
        <x:v>3</x:v>
      </x:c>
      <x:c r="L70" s="1" t="s">
        <x:v>135</x:v>
      </x:c>
      <x:c r="M70" s="1" t="s">
        <x:v>3</x:v>
      </x:c>
      <x:c r="N70" s="1" t="s">
        <x:v>3</x:v>
      </x:c>
      <x:c r="O70" s="1">
        <x:v>14</x:v>
      </x:c>
      <x:c r="P70" s="1">
        <x:v>6720</x:v>
      </x:c>
      <x:c r="Q70" s="1">
        <x:v>37</x:v>
      </x:c>
      <x:c r="R70" s="4" t="b">
        <x:v>1</x:v>
      </x:c>
      <x:c r="S70" s="1">
        <x:v>1</x:v>
      </x:c>
      <x:c r="T70" s="1">
        <x:v>1</x:v>
      </x:c>
      <x:c r="U70" s="1">
        <x:v>1</x:v>
      </x:c>
      <x:c r="V70" s="1">
        <x:v>0</x:v>
      </x:c>
      <x:c r="W70" s="1">
        <x:v>0</x:v>
      </x:c>
      <x:c r="X70" s="1">
        <x:v>1</x:v>
      </x:c>
      <x:c r="Y70" s="1">
        <x:v>0</x:v>
      </x:c>
      <x:c r="Z70" s="1" t="s">
        <x:v>136</x:v>
      </x:c>
      <x:c r="AA70" s="1" t="s">
        <x:v>136</x:v>
      </x:c>
      <x:c r="AB70" s="1" t="s">
        <x:v>137</x:v>
      </x:c>
      <x:c r="AC70" s="1" t="s">
        <x:v>138</x:v>
      </x:c>
    </x:row>
    <x:row r="71" ht="55.04999923706055" customHeight="1">
      <x:c r="A71" s="1" t="s">
        <x:v>72</x:v>
      </x:c>
      <x:c r="B71" s="1" t="str">
        <x:v>Scenario 070</x:v>
      </x:c>
      <x:c r="C71" s="1" t="str">
        <x:v>Synthetic domain-informed scenario</x:v>
      </x:c>
      <x:c r="D71" s="1">
        <x:v>79</x:v>
      </x:c>
      <x:c r="E71" s="1">
        <x:v>593000</x:v>
      </x:c>
      <x:c r="F71" s="1">
        <x:v>4600</x:v>
      </x:c>
      <x:c r="G71" s="1" t="s">
        <x:v>139</x:v>
      </x:c>
      <x:c r="H71" s="1" t="s">
        <x:v>140</x:v>
      </x:c>
      <x:c r="I71" s="1" t="s">
        <x:v>134</x:v>
      </x:c>
      <x:c r="J71" s="1" t="s">
        <x:v>3</x:v>
      </x:c>
      <x:c r="K71" s="1" t="s">
        <x:v>1</x:v>
      </x:c>
      <x:c r="L71" s="1" t="s">
        <x:v>135</x:v>
      </x:c>
      <x:c r="M71" s="1" t="s">
        <x:v>3</x:v>
      </x:c>
      <x:c r="N71" s="1" t="s">
        <x:v>3</x:v>
      </x:c>
      <x:c r="O71" s="1">
        <x:v>18</x:v>
      </x:c>
      <x:c r="P71" s="1">
        <x:v>8640</x:v>
      </x:c>
      <x:c r="Q71" s="1">
        <x:v>22</x:v>
      </x:c>
      <x:c r="R71" s="4" t="b">
        <x:v>1</x:v>
      </x:c>
      <x:c r="S71" s="1">
        <x:v>1</x:v>
      </x:c>
      <x:c r="T71" s="1">
        <x:v>0</x:v>
      </x:c>
      <x:c r="U71" s="1">
        <x:v>0</x:v>
      </x:c>
      <x:c r="V71" s="1">
        <x:v>0</x:v>
      </x:c>
      <x:c r="W71" s="1">
        <x:v>1</x:v>
      </x:c>
      <x:c r="X71" s="1">
        <x:v>0</x:v>
      </x:c>
      <x:c r="Y71" s="1">
        <x:v>0</x:v>
      </x:c>
      <x:c r="Z71" s="1" t="s">
        <x:v>136</x:v>
      </x:c>
      <x:c r="AA71" s="1" t="s">
        <x:v>136</x:v>
      </x:c>
      <x:c r="AB71" s="1" t="s">
        <x:v>137</x:v>
      </x:c>
      <x:c r="AC71" s="1" t="s">
        <x:v>138</x:v>
      </x:c>
    </x:row>
    <x:row r="72" ht="55.04999923706055" customHeight="1">
      <x:c r="A72" s="1" t="s">
        <x:v>73</x:v>
      </x:c>
      <x:c r="B72" s="1" t="str">
        <x:v>Scenario 071</x:v>
      </x:c>
      <x:c r="C72" s="1" t="str">
        <x:v>Synthetic domain-informed scenario</x:v>
      </x:c>
      <x:c r="D72" s="1">
        <x:v>100</x:v>
      </x:c>
      <x:c r="E72" s="1">
        <x:v>435000</x:v>
      </x:c>
      <x:c r="F72" s="1">
        <x:v>4987</x:v>
      </x:c>
      <x:c r="G72" s="1" t="s">
        <x:v>149</x:v>
      </x:c>
      <x:c r="H72" s="1" t="s">
        <x:v>150</x:v>
      </x:c>
      <x:c r="I72" s="1" t="s">
        <x:v>151</x:v>
      </x:c>
      <x:c r="J72" s="1" t="s">
        <x:v>7</x:v>
      </x:c>
      <x:c r="K72" s="1" t="s">
        <x:v>1</x:v>
      </x:c>
      <x:c r="L72" s="1" t="s">
        <x:v>145</x:v>
      </x:c>
      <x:c r="M72" s="1" t="s">
        <x:v>1</x:v>
      </x:c>
      <x:c r="N72" s="1" t="s">
        <x:v>1</x:v>
      </x:c>
      <x:c r="O72" s="1">
        <x:v>15</x:v>
      </x:c>
      <x:c r="P72" s="1">
        <x:v>7200</x:v>
      </x:c>
      <x:c r="Q72" s="1">
        <x:v>21</x:v>
      </x:c>
      <x:c r="R72" s="4" t="b">
        <x:v>1</x:v>
      </x:c>
      <x:c r="S72" s="1">
        <x:v>1</x:v>
      </x:c>
      <x:c r="T72" s="1">
        <x:v>1</x:v>
      </x:c>
      <x:c r="U72" s="1">
        <x:v>0</x:v>
      </x:c>
      <x:c r="V72" s="1">
        <x:v>0</x:v>
      </x:c>
      <x:c r="W72" s="1">
        <x:v>0</x:v>
      </x:c>
      <x:c r="X72" s="1">
        <x:v>0</x:v>
      </x:c>
      <x:c r="Y72" s="1">
        <x:v>0</x:v>
      </x:c>
      <x:c r="Z72" s="1" t="s">
        <x:v>136</x:v>
      </x:c>
      <x:c r="AA72" s="1" t="s">
        <x:v>136</x:v>
      </x:c>
      <x:c r="AB72" s="1" t="s">
        <x:v>137</x:v>
      </x:c>
      <x:c r="AC72" s="1" t="s">
        <x:v>138</x:v>
      </x:c>
    </x:row>
    <x:row r="73" ht="55.04999923706055" customHeight="1">
      <x:c r="A73" s="1" t="s">
        <x:v>74</x:v>
      </x:c>
      <x:c r="B73" s="1" t="str">
        <x:v>Scenario 072</x:v>
      </x:c>
      <x:c r="C73" s="1" t="str">
        <x:v>Synthetic domain-informed scenario</x:v>
      </x:c>
      <x:c r="D73" s="1">
        <x:v>10</x:v>
      </x:c>
      <x:c r="E73" s="1">
        <x:v>105000</x:v>
      </x:c>
      <x:c r="F73" s="1">
        <x:v>674</x:v>
      </x:c>
      <x:c r="G73" s="1" t="s">
        <x:v>149</x:v>
      </x:c>
      <x:c r="H73" s="1" t="s">
        <x:v>150</x:v>
      </x:c>
      <x:c r="I73" s="1" t="s">
        <x:v>151</x:v>
      </x:c>
      <x:c r="J73" s="1" t="s">
        <x:v>3</x:v>
      </x:c>
      <x:c r="K73" s="1" t="s">
        <x:v>1</x:v>
      </x:c>
      <x:c r="L73" s="1" t="s">
        <x:v>135</x:v>
      </x:c>
      <x:c r="M73" s="1" t="s">
        <x:v>3</x:v>
      </x:c>
      <x:c r="N73" s="1" t="s">
        <x:v>1</x:v>
      </x:c>
      <x:c r="O73" s="1">
        <x:v>10</x:v>
      </x:c>
      <x:c r="P73" s="1">
        <x:v>4800</x:v>
      </x:c>
      <x:c r="Q73" s="1">
        <x:v>34</x:v>
      </x:c>
      <x:c r="R73" s="4" t="b">
        <x:v>0</x:v>
      </x:c>
      <x:c r="S73" s="1">
        <x:v>1</x:v>
      </x:c>
      <x:c r="T73" s="1">
        <x:v>1</x:v>
      </x:c>
      <x:c r="U73" s="1">
        <x:v>0</x:v>
      </x:c>
      <x:c r="V73" s="1">
        <x:v>0</x:v>
      </x:c>
      <x:c r="W73" s="1">
        <x:v>0</x:v>
      </x:c>
      <x:c r="X73" s="1">
        <x:v>0</x:v>
      </x:c>
      <x:c r="Y73" s="1">
        <x:v>0</x:v>
      </x:c>
      <x:c r="Z73" s="1" t="s">
        <x:v>136</x:v>
      </x:c>
      <x:c r="AA73" s="1" t="s">
        <x:v>136</x:v>
      </x:c>
      <x:c r="AB73" s="1" t="s">
        <x:v>137</x:v>
      </x:c>
      <x:c r="AC73" s="1" t="s">
        <x:v>138</x:v>
      </x:c>
    </x:row>
    <x:row r="74" ht="55.04999923706055" customHeight="1">
      <x:c r="A74" s="1" t="s">
        <x:v>75</x:v>
      </x:c>
      <x:c r="B74" s="1" t="str">
        <x:v>Scenario 073</x:v>
      </x:c>
      <x:c r="C74" s="1" t="str">
        <x:v>Synthetic domain-informed scenario</x:v>
      </x:c>
      <x:c r="D74" s="1">
        <x:v>57</x:v>
      </x:c>
      <x:c r="E74" s="1">
        <x:v>760000</x:v>
      </x:c>
      <x:c r="F74" s="1">
        <x:v>10952</x:v>
      </x:c>
      <x:c r="G74" s="1" t="s">
        <x:v>146</x:v>
      </x:c>
      <x:c r="H74" s="1" t="s">
        <x:v>148</x:v>
      </x:c>
      <x:c r="I74" s="1" t="s">
        <x:v>134</x:v>
      </x:c>
      <x:c r="J74" s="1" t="s">
        <x:v>3</x:v>
      </x:c>
      <x:c r="K74" s="1" t="s">
        <x:v>3</x:v>
      </x:c>
      <x:c r="L74" s="1" t="s">
        <x:v>135</x:v>
      </x:c>
      <x:c r="M74" s="1" t="s">
        <x:v>3</x:v>
      </x:c>
      <x:c r="N74" s="1" t="s">
        <x:v>3</x:v>
      </x:c>
      <x:c r="O74" s="1">
        <x:v>16</x:v>
      </x:c>
      <x:c r="P74" s="1">
        <x:v>7680</x:v>
      </x:c>
      <x:c r="Q74" s="1">
        <x:v>28</x:v>
      </x:c>
      <x:c r="R74" s="4" t="b">
        <x:v>1</x:v>
      </x:c>
      <x:c r="S74" s="1">
        <x:v>1</x:v>
      </x:c>
      <x:c r="T74" s="1">
        <x:v>1</x:v>
      </x:c>
      <x:c r="U74" s="1">
        <x:v>1</x:v>
      </x:c>
      <x:c r="V74" s="1">
        <x:v>0</x:v>
      </x:c>
      <x:c r="W74" s="1">
        <x:v>0</x:v>
      </x:c>
      <x:c r="X74" s="1">
        <x:v>1</x:v>
      </x:c>
      <x:c r="Y74" s="1">
        <x:v>0</x:v>
      </x:c>
      <x:c r="Z74" s="1" t="s">
        <x:v>136</x:v>
      </x:c>
      <x:c r="AA74" s="1" t="s">
        <x:v>136</x:v>
      </x:c>
      <x:c r="AB74" s="1" t="s">
        <x:v>137</x:v>
      </x:c>
      <x:c r="AC74" s="1" t="s">
        <x:v>138</x:v>
      </x:c>
    </x:row>
    <x:row r="75" ht="55.04999923706055" customHeight="1">
      <x:c r="A75" s="1" t="s">
        <x:v>76</x:v>
      </x:c>
      <x:c r="B75" s="1" t="str">
        <x:v>Scenario 074</x:v>
      </x:c>
      <x:c r="C75" s="1" t="str">
        <x:v>Synthetic domain-informed scenario</x:v>
      </x:c>
      <x:c r="D75" s="1">
        <x:v>65</x:v>
      </x:c>
      <x:c r="E75" s="1">
        <x:v>105000</x:v>
      </x:c>
      <x:c r="F75" s="1">
        <x:v>1392</x:v>
      </x:c>
      <x:c r="G75" s="1" t="s">
        <x:v>143</x:v>
      </x:c>
      <x:c r="H75" s="1" t="s">
        <x:v>144</x:v>
      </x:c>
      <x:c r="I75" s="1" t="s">
        <x:v>141</x:v>
      </x:c>
      <x:c r="J75" s="1" t="s">
        <x:v>3</x:v>
      </x:c>
      <x:c r="K75" s="1" t="s">
        <x:v>3</x:v>
      </x:c>
      <x:c r="L75" s="1" t="s">
        <x:v>135</x:v>
      </x:c>
      <x:c r="M75" s="1" t="s">
        <x:v>3</x:v>
      </x:c>
      <x:c r="N75" s="1" t="s">
        <x:v>3</x:v>
      </x:c>
      <x:c r="O75" s="1">
        <x:v>16</x:v>
      </x:c>
      <x:c r="P75" s="1">
        <x:v>7680</x:v>
      </x:c>
      <x:c r="Q75" s="1">
        <x:v>35</x:v>
      </x:c>
      <x:c r="R75" s="4" t="b">
        <x:v>1</x:v>
      </x:c>
      <x:c r="S75" s="1">
        <x:v>0</x:v>
      </x:c>
      <x:c r="T75" s="1">
        <x:v>0</x:v>
      </x:c>
      <x:c r="U75" s="1">
        <x:v>0</x:v>
      </x:c>
      <x:c r="V75" s="1">
        <x:v>0</x:v>
      </x:c>
      <x:c r="W75" s="1">
        <x:v>1</x:v>
      </x:c>
      <x:c r="X75" s="1">
        <x:v>0</x:v>
      </x:c>
      <x:c r="Y75" s="1">
        <x:v>0</x:v>
      </x:c>
      <x:c r="Z75" s="1" t="s">
        <x:v>136</x:v>
      </x:c>
      <x:c r="AA75" s="1" t="s">
        <x:v>136</x:v>
      </x:c>
      <x:c r="AB75" s="1" t="s">
        <x:v>136</x:v>
      </x:c>
      <x:c r="AC75" s="1" t="s">
        <x:v>138</x:v>
      </x:c>
    </x:row>
    <x:row r="76" ht="55.04999923706055" customHeight="1">
      <x:c r="A76" s="1" t="s">
        <x:v>77</x:v>
      </x:c>
      <x:c r="B76" s="1" t="str">
        <x:v>Scenario 075</x:v>
      </x:c>
      <x:c r="C76" s="1" t="str">
        <x:v>Synthetic domain-informed scenario</x:v>
      </x:c>
      <x:c r="D76" s="1">
        <x:v>20</x:v>
      </x:c>
      <x:c r="E76" s="1">
        <x:v>94000</x:v>
      </x:c>
      <x:c r="F76" s="1">
        <x:v>366</x:v>
      </x:c>
      <x:c r="G76" s="1" t="s">
        <x:v>132</x:v>
      </x:c>
      <x:c r="H76" s="1" t="s">
        <x:v>133</x:v>
      </x:c>
      <x:c r="I76" s="1" t="s">
        <x:v>142</x:v>
      </x:c>
      <x:c r="J76" s="1" t="s">
        <x:v>7</x:v>
      </x:c>
      <x:c r="K76" s="1" t="s">
        <x:v>1</x:v>
      </x:c>
      <x:c r="L76" s="1" t="s">
        <x:v>145</x:v>
      </x:c>
      <x:c r="M76" s="1" t="s">
        <x:v>7</x:v>
      </x:c>
      <x:c r="N76" s="1" t="s">
        <x:v>7</x:v>
      </x:c>
      <x:c r="O76" s="1">
        <x:v>7</x:v>
      </x:c>
      <x:c r="P76" s="1">
        <x:v>3360</x:v>
      </x:c>
      <x:c r="Q76" s="1">
        <x:v>34</x:v>
      </x:c>
      <x:c r="R76" s="4" t="b">
        <x:v>1</x:v>
      </x:c>
      <x:c r="S76" s="1">
        <x:v>1</x:v>
      </x:c>
      <x:c r="T76" s="1">
        <x:v>1</x:v>
      </x:c>
      <x:c r="U76" s="1">
        <x:v>0</x:v>
      </x:c>
      <x:c r="V76" s="1">
        <x:v>0</x:v>
      </x:c>
      <x:c r="W76" s="1">
        <x:v>1</x:v>
      </x:c>
      <x:c r="X76" s="1">
        <x:v>0</x:v>
      </x:c>
      <x:c r="Y76" s="1">
        <x:v>0</x:v>
      </x:c>
      <x:c r="Z76" s="1" t="s">
        <x:v>136</x:v>
      </x:c>
      <x:c r="AA76" s="1" t="s">
        <x:v>136</x:v>
      </x:c>
      <x:c r="AB76" s="1" t="s">
        <x:v>137</x:v>
      </x:c>
      <x:c r="AC76" s="1" t="s">
        <x:v>138</x:v>
      </x:c>
    </x:row>
    <x:row r="77" ht="55.04999923706055" customHeight="1">
      <x:c r="A77" s="1" t="s">
        <x:v>78</x:v>
      </x:c>
      <x:c r="B77" s="1" t="str">
        <x:v>Scenario 076</x:v>
      </x:c>
      <x:c r="C77" s="1" t="str">
        <x:v>Synthetic domain-informed scenario</x:v>
      </x:c>
      <x:c r="D77" s="1">
        <x:v>117</x:v>
      </x:c>
      <x:c r="E77" s="1">
        <x:v>2842000</x:v>
      </x:c>
      <x:c r="F77" s="1">
        <x:v>1896</x:v>
      </x:c>
      <x:c r="G77" s="1" t="s">
        <x:v>149</x:v>
      </x:c>
      <x:c r="H77" s="1" t="s">
        <x:v>150</x:v>
      </x:c>
      <x:c r="I77" s="1" t="s">
        <x:v>142</x:v>
      </x:c>
      <x:c r="J77" s="1" t="s">
        <x:v>7</x:v>
      </x:c>
      <x:c r="K77" s="1" t="s">
        <x:v>1</x:v>
      </x:c>
      <x:c r="L77" s="1" t="s">
        <x:v>135</x:v>
      </x:c>
      <x:c r="M77" s="1" t="s">
        <x:v>3</x:v>
      </x:c>
      <x:c r="N77" s="1" t="s">
        <x:v>1</x:v>
      </x:c>
      <x:c r="O77" s="1">
        <x:v>15</x:v>
      </x:c>
      <x:c r="P77" s="1">
        <x:v>7200</x:v>
      </x:c>
      <x:c r="Q77" s="1">
        <x:v>33</x:v>
      </x:c>
      <x:c r="R77" s="4" t="b">
        <x:v>0</x:v>
      </x:c>
      <x:c r="S77" s="1">
        <x:v>1</x:v>
      </x:c>
      <x:c r="T77" s="1">
        <x:v>1</x:v>
      </x:c>
      <x:c r="U77" s="1">
        <x:v>0</x:v>
      </x:c>
      <x:c r="V77" s="1">
        <x:v>0</x:v>
      </x:c>
      <x:c r="W77" s="1">
        <x:v>0</x:v>
      </x:c>
      <x:c r="X77" s="1">
        <x:v>0</x:v>
      </x:c>
      <x:c r="Y77" s="1">
        <x:v>0</x:v>
      </x:c>
      <x:c r="Z77" s="1" t="s">
        <x:v>136</x:v>
      </x:c>
      <x:c r="AA77" s="1" t="s">
        <x:v>136</x:v>
      </x:c>
      <x:c r="AB77" s="1" t="s">
        <x:v>137</x:v>
      </x:c>
      <x:c r="AC77" s="1" t="s">
        <x:v>138</x:v>
      </x:c>
    </x:row>
    <x:row r="78" ht="55.04999923706055" customHeight="1">
      <x:c r="A78" s="1" t="s">
        <x:v>79</x:v>
      </x:c>
      <x:c r="B78" s="1" t="str">
        <x:v>Scenario 077</x:v>
      </x:c>
      <x:c r="C78" s="1" t="str">
        <x:v>Synthetic domain-informed scenario</x:v>
      </x:c>
      <x:c r="D78" s="1">
        <x:v>41</x:v>
      </x:c>
      <x:c r="E78" s="1">
        <x:v>179000</x:v>
      </x:c>
      <x:c r="F78" s="1">
        <x:v>308</x:v>
      </x:c>
      <x:c r="G78" s="1" t="s">
        <x:v>139</x:v>
      </x:c>
      <x:c r="H78" s="1" t="s">
        <x:v>140</x:v>
      </x:c>
      <x:c r="I78" s="1" t="s">
        <x:v>151</x:v>
      </x:c>
      <x:c r="J78" s="1" t="s">
        <x:v>7</x:v>
      </x:c>
      <x:c r="K78" s="1" t="s">
        <x:v>3</x:v>
      </x:c>
      <x:c r="L78" s="1" t="s">
        <x:v>135</x:v>
      </x:c>
      <x:c r="M78" s="1" t="s">
        <x:v>3</x:v>
      </x:c>
      <x:c r="N78" s="1" t="s">
        <x:v>3</x:v>
      </x:c>
      <x:c r="O78" s="1">
        <x:v>14</x:v>
      </x:c>
      <x:c r="P78" s="1">
        <x:v>6720</x:v>
      </x:c>
      <x:c r="Q78" s="1">
        <x:v>29</x:v>
      </x:c>
      <x:c r="R78" s="4" t="b">
        <x:v>1</x:v>
      </x:c>
      <x:c r="S78" s="1">
        <x:v>1</x:v>
      </x:c>
      <x:c r="T78" s="1">
        <x:v>0</x:v>
      </x:c>
      <x:c r="U78" s="1">
        <x:v>0</x:v>
      </x:c>
      <x:c r="V78" s="1">
        <x:v>0</x:v>
      </x:c>
      <x:c r="W78" s="1">
        <x:v>1</x:v>
      </x:c>
      <x:c r="X78" s="1">
        <x:v>0</x:v>
      </x:c>
      <x:c r="Y78" s="1">
        <x:v>0</x:v>
      </x:c>
      <x:c r="Z78" s="1" t="s">
        <x:v>136</x:v>
      </x:c>
      <x:c r="AA78" s="1" t="s">
        <x:v>136</x:v>
      </x:c>
      <x:c r="AB78" s="1" t="s">
        <x:v>137</x:v>
      </x:c>
      <x:c r="AC78" s="1" t="s">
        <x:v>138</x:v>
      </x:c>
    </x:row>
    <x:row r="79" ht="55.04999923706055" customHeight="1">
      <x:c r="A79" s="1" t="s">
        <x:v>80</x:v>
      </x:c>
      <x:c r="B79" s="1" t="str">
        <x:v>Scenario 078</x:v>
      </x:c>
      <x:c r="C79" s="1" t="str">
        <x:v>Synthetic domain-informed scenario</x:v>
      </x:c>
      <x:c r="D79" s="1">
        <x:v>25</x:v>
      </x:c>
      <x:c r="E79" s="1">
        <x:v>111000</x:v>
      </x:c>
      <x:c r="F79" s="1">
        <x:v>1072</x:v>
      </x:c>
      <x:c r="G79" s="1" t="s">
        <x:v>152</x:v>
      </x:c>
      <x:c r="H79" s="1" t="s">
        <x:v>144</x:v>
      </x:c>
      <x:c r="I79" s="1" t="s">
        <x:v>153</x:v>
      </x:c>
      <x:c r="J79" s="1" t="s">
        <x:v>7</x:v>
      </x:c>
      <x:c r="K79" s="1" t="s">
        <x:v>7</x:v>
      </x:c>
      <x:c r="L79" s="1" t="s">
        <x:v>135</x:v>
      </x:c>
      <x:c r="M79" s="1" t="s">
        <x:v>7</x:v>
      </x:c>
      <x:c r="N79" s="1" t="s">
        <x:v>1</x:v>
      </x:c>
      <x:c r="O79" s="1">
        <x:v>7</x:v>
      </x:c>
      <x:c r="P79" s="1">
        <x:v>3360</x:v>
      </x:c>
      <x:c r="Q79" s="1">
        <x:v>22</x:v>
      </x:c>
      <x:c r="R79" s="4" t="b">
        <x:v>0</x:v>
      </x:c>
      <x:c r="S79" s="1">
        <x:v>0</x:v>
      </x:c>
      <x:c r="T79" s="1">
        <x:v>0</x:v>
      </x:c>
      <x:c r="U79" s="1">
        <x:v>0</x:v>
      </x:c>
      <x:c r="V79" s="1">
        <x:v>0</x:v>
      </x:c>
      <x:c r="W79" s="1">
        <x:v>1</x:v>
      </x:c>
      <x:c r="X79" s="1">
        <x:v>0</x:v>
      </x:c>
      <x:c r="Y79" s="1">
        <x:v>0</x:v>
      </x:c>
      <x:c r="Z79" s="1" t="s">
        <x:v>136</x:v>
      </x:c>
      <x:c r="AA79" s="1" t="s">
        <x:v>136</x:v>
      </x:c>
      <x:c r="AB79" s="1" t="s">
        <x:v>136</x:v>
      </x:c>
      <x:c r="AC79" s="1" t="s">
        <x:v>138</x:v>
      </x:c>
    </x:row>
    <x:row r="80" ht="55.04999923706055" customHeight="1">
      <x:c r="A80" s="1" t="s">
        <x:v>81</x:v>
      </x:c>
      <x:c r="B80" s="1" t="str">
        <x:v>Scenario 079</x:v>
      </x:c>
      <x:c r="C80" s="1" t="str">
        <x:v>Synthetic domain-informed scenario</x:v>
      </x:c>
      <x:c r="D80" s="1">
        <x:v>144</x:v>
      </x:c>
      <x:c r="E80" s="1">
        <x:v>247000</x:v>
      </x:c>
      <x:c r="F80" s="1">
        <x:v>4074</x:v>
      </x:c>
      <x:c r="G80" s="1" t="s">
        <x:v>143</x:v>
      </x:c>
      <x:c r="H80" s="1" t="s">
        <x:v>144</x:v>
      </x:c>
      <x:c r="I80" s="1" t="s">
        <x:v>153</x:v>
      </x:c>
      <x:c r="J80" s="1" t="s">
        <x:v>7</x:v>
      </x:c>
      <x:c r="K80" s="1" t="s">
        <x:v>7</x:v>
      </x:c>
      <x:c r="L80" s="1" t="s">
        <x:v>135</x:v>
      </x:c>
      <x:c r="M80" s="1" t="s">
        <x:v>1</x:v>
      </x:c>
      <x:c r="N80" s="1" t="s">
        <x:v>1</x:v>
      </x:c>
      <x:c r="O80" s="1">
        <x:v>15</x:v>
      </x:c>
      <x:c r="P80" s="1">
        <x:v>7200</x:v>
      </x:c>
      <x:c r="Q80" s="1">
        <x:v>35</x:v>
      </x:c>
      <x:c r="R80" s="4" t="b">
        <x:v>1</x:v>
      </x:c>
      <x:c r="S80" s="1">
        <x:v>0</x:v>
      </x:c>
      <x:c r="T80" s="1">
        <x:v>0</x:v>
      </x:c>
      <x:c r="U80" s="1">
        <x:v>0</x:v>
      </x:c>
      <x:c r="V80" s="1">
        <x:v>0</x:v>
      </x:c>
      <x:c r="W80" s="1">
        <x:v>1</x:v>
      </x:c>
      <x:c r="X80" s="1">
        <x:v>0</x:v>
      </x:c>
      <x:c r="Y80" s="1">
        <x:v>0</x:v>
      </x:c>
      <x:c r="Z80" s="1" t="s">
        <x:v>136</x:v>
      </x:c>
      <x:c r="AA80" s="1" t="s">
        <x:v>136</x:v>
      </x:c>
      <x:c r="AB80" s="1" t="s">
        <x:v>136</x:v>
      </x:c>
      <x:c r="AC80" s="1" t="s">
        <x:v>138</x:v>
      </x:c>
    </x:row>
    <x:row r="81" ht="55.04999923706055" customHeight="1">
      <x:c r="A81" s="1" t="s">
        <x:v>82</x:v>
      </x:c>
      <x:c r="B81" s="1" t="str">
        <x:v>Scenario 080</x:v>
      </x:c>
      <x:c r="C81" s="1" t="str">
        <x:v>Synthetic domain-informed scenario</x:v>
      </x:c>
      <x:c r="D81" s="1">
        <x:v>143</x:v>
      </x:c>
      <x:c r="E81" s="1">
        <x:v>362000</x:v>
      </x:c>
      <x:c r="F81" s="1">
        <x:v>4856</x:v>
      </x:c>
      <x:c r="G81" s="1" t="s">
        <x:v>132</x:v>
      </x:c>
      <x:c r="H81" s="1" t="s">
        <x:v>133</x:v>
      </x:c>
      <x:c r="I81" s="1" t="s">
        <x:v>151</x:v>
      </x:c>
      <x:c r="J81" s="1" t="s">
        <x:v>7</x:v>
      </x:c>
      <x:c r="K81" s="1" t="s">
        <x:v>1</x:v>
      </x:c>
      <x:c r="L81" s="1" t="s">
        <x:v>145</x:v>
      </x:c>
      <x:c r="M81" s="1" t="s">
        <x:v>1</x:v>
      </x:c>
      <x:c r="N81" s="1" t="s">
        <x:v>1</x:v>
      </x:c>
      <x:c r="O81" s="1">
        <x:v>17</x:v>
      </x:c>
      <x:c r="P81" s="1">
        <x:v>8160</x:v>
      </x:c>
      <x:c r="Q81" s="1">
        <x:v>33</x:v>
      </x:c>
      <x:c r="R81" s="4" t="b">
        <x:v>1</x:v>
      </x:c>
      <x:c r="S81" s="1">
        <x:v>1</x:v>
      </x:c>
      <x:c r="T81" s="1">
        <x:v>1</x:v>
      </x:c>
      <x:c r="U81" s="1">
        <x:v>0</x:v>
      </x:c>
      <x:c r="V81" s="1">
        <x:v>0</x:v>
      </x:c>
      <x:c r="W81" s="1">
        <x:v>1</x:v>
      </x:c>
      <x:c r="X81" s="1">
        <x:v>0</x:v>
      </x:c>
      <x:c r="Y81" s="1">
        <x:v>0</x:v>
      </x:c>
      <x:c r="Z81" s="1" t="s">
        <x:v>136</x:v>
      </x:c>
      <x:c r="AA81" s="1" t="s">
        <x:v>136</x:v>
      </x:c>
      <x:c r="AB81" s="1" t="s">
        <x:v>137</x:v>
      </x:c>
      <x:c r="AC81" s="1" t="s">
        <x:v>138</x:v>
      </x:c>
    </x:row>
    <x:row r="82" ht="55.04999923706055" customHeight="1">
      <x:c r="A82" s="1" t="s">
        <x:v>83</x:v>
      </x:c>
      <x:c r="B82" s="1" t="str">
        <x:v>Scenario 081</x:v>
      </x:c>
      <x:c r="C82" s="1" t="str">
        <x:v>Synthetic domain-informed scenario</x:v>
      </x:c>
      <x:c r="D82" s="1">
        <x:v>36</x:v>
      </x:c>
      <x:c r="E82" s="1">
        <x:v>82000</x:v>
      </x:c>
      <x:c r="F82" s="1">
        <x:v>644</x:v>
      </x:c>
      <x:c r="G82" s="1" t="s">
        <x:v>146</x:v>
      </x:c>
      <x:c r="H82" s="1" t="s">
        <x:v>148</x:v>
      </x:c>
      <x:c r="I82" s="1" t="s">
        <x:v>142</x:v>
      </x:c>
      <x:c r="J82" s="1" t="s">
        <x:v>7</x:v>
      </x:c>
      <x:c r="K82" s="1" t="s">
        <x:v>3</x:v>
      </x:c>
      <x:c r="L82" s="1" t="s">
        <x:v>135</x:v>
      </x:c>
      <x:c r="M82" s="1" t="s">
        <x:v>3</x:v>
      </x:c>
      <x:c r="N82" s="1" t="s">
        <x:v>1</x:v>
      </x:c>
      <x:c r="O82" s="1">
        <x:v>16</x:v>
      </x:c>
      <x:c r="P82" s="1">
        <x:v>7680</x:v>
      </x:c>
      <x:c r="Q82" s="1">
        <x:v>37</x:v>
      </x:c>
      <x:c r="R82" s="4" t="b">
        <x:v>0</x:v>
      </x:c>
      <x:c r="S82" s="1">
        <x:v>1</x:v>
      </x:c>
      <x:c r="T82" s="1">
        <x:v>1</x:v>
      </x:c>
      <x:c r="U82" s="1">
        <x:v>1</x:v>
      </x:c>
      <x:c r="V82" s="1">
        <x:v>0</x:v>
      </x:c>
      <x:c r="W82" s="1">
        <x:v>0</x:v>
      </x:c>
      <x:c r="X82" s="1">
        <x:v>1</x:v>
      </x:c>
      <x:c r="Y82" s="1">
        <x:v>0</x:v>
      </x:c>
      <x:c r="Z82" s="1" t="s">
        <x:v>136</x:v>
      </x:c>
      <x:c r="AA82" s="1" t="s">
        <x:v>136</x:v>
      </x:c>
      <x:c r="AB82" s="1" t="s">
        <x:v>137</x:v>
      </x:c>
      <x:c r="AC82" s="1" t="s">
        <x:v>138</x:v>
      </x:c>
    </x:row>
    <x:row r="83" ht="55.04999923706055" customHeight="1">
      <x:c r="A83" s="1" t="s">
        <x:v>84</x:v>
      </x:c>
      <x:c r="B83" s="1" t="str">
        <x:v>Scenario 082</x:v>
      </x:c>
      <x:c r="C83" s="1" t="str">
        <x:v>Synthetic domain-informed scenario</x:v>
      </x:c>
      <x:c r="D83" s="1">
        <x:v>17</x:v>
      </x:c>
      <x:c r="E83" s="1">
        <x:v>62000</x:v>
      </x:c>
      <x:c r="F83" s="1">
        <x:v>816</x:v>
      </x:c>
      <x:c r="G83" s="1" t="s">
        <x:v>149</x:v>
      </x:c>
      <x:c r="H83" s="1" t="s">
        <x:v>150</x:v>
      </x:c>
      <x:c r="I83" s="1" t="s">
        <x:v>142</x:v>
      </x:c>
      <x:c r="J83" s="1" t="s">
        <x:v>3</x:v>
      </x:c>
      <x:c r="K83" s="1" t="s">
        <x:v>3</x:v>
      </x:c>
      <x:c r="L83" s="1" t="s">
        <x:v>135</x:v>
      </x:c>
      <x:c r="M83" s="1" t="s">
        <x:v>3</x:v>
      </x:c>
      <x:c r="N83" s="1" t="s">
        <x:v>1</x:v>
      </x:c>
      <x:c r="O83" s="1">
        <x:v>14</x:v>
      </x:c>
      <x:c r="P83" s="1">
        <x:v>6720</x:v>
      </x:c>
      <x:c r="Q83" s="1">
        <x:v>27</x:v>
      </x:c>
      <x:c r="R83" s="4" t="b">
        <x:v>0</x:v>
      </x:c>
      <x:c r="S83" s="1">
        <x:v>1</x:v>
      </x:c>
      <x:c r="T83" s="1">
        <x:v>1</x:v>
      </x:c>
      <x:c r="U83" s="1">
        <x:v>0</x:v>
      </x:c>
      <x:c r="V83" s="1">
        <x:v>0</x:v>
      </x:c>
      <x:c r="W83" s="1">
        <x:v>0</x:v>
      </x:c>
      <x:c r="X83" s="1">
        <x:v>0</x:v>
      </x:c>
      <x:c r="Y83" s="1">
        <x:v>0</x:v>
      </x:c>
      <x:c r="Z83" s="1" t="s">
        <x:v>136</x:v>
      </x:c>
      <x:c r="AA83" s="1" t="s">
        <x:v>136</x:v>
      </x:c>
      <x:c r="AB83" s="1" t="s">
        <x:v>137</x:v>
      </x:c>
      <x:c r="AC83" s="1" t="s">
        <x:v>138</x:v>
      </x:c>
    </x:row>
    <x:row r="84" ht="55.04999923706055" customHeight="1">
      <x:c r="A84" s="1" t="s">
        <x:v>85</x:v>
      </x:c>
      <x:c r="B84" s="1" t="str">
        <x:v>Scenario 083</x:v>
      </x:c>
      <x:c r="C84" s="1" t="str">
        <x:v>Synthetic domain-informed scenario</x:v>
      </x:c>
      <x:c r="D84" s="1">
        <x:v>58</x:v>
      </x:c>
      <x:c r="E84" s="1">
        <x:v>245000</x:v>
      </x:c>
      <x:c r="F84" s="1">
        <x:v>2556</x:v>
      </x:c>
      <x:c r="G84" s="1" t="s">
        <x:v>143</x:v>
      </x:c>
      <x:c r="H84" s="1" t="s">
        <x:v>144</x:v>
      </x:c>
      <x:c r="I84" s="1" t="s">
        <x:v>142</x:v>
      </x:c>
      <x:c r="J84" s="1" t="s">
        <x:v>3</x:v>
      </x:c>
      <x:c r="K84" s="1" t="s">
        <x:v>1</x:v>
      </x:c>
      <x:c r="L84" s="1" t="s">
        <x:v>135</x:v>
      </x:c>
      <x:c r="M84" s="1" t="s">
        <x:v>3</x:v>
      </x:c>
      <x:c r="N84" s="1" t="s">
        <x:v>3</x:v>
      </x:c>
      <x:c r="O84" s="1">
        <x:v>12</x:v>
      </x:c>
      <x:c r="P84" s="1">
        <x:v>5760</x:v>
      </x:c>
      <x:c r="Q84" s="1">
        <x:v>21</x:v>
      </x:c>
      <x:c r="R84" s="4" t="b">
        <x:v>1</x:v>
      </x:c>
      <x:c r="S84" s="1">
        <x:v>0</x:v>
      </x:c>
      <x:c r="T84" s="1">
        <x:v>0</x:v>
      </x:c>
      <x:c r="U84" s="1">
        <x:v>0</x:v>
      </x:c>
      <x:c r="V84" s="1">
        <x:v>0</x:v>
      </x:c>
      <x:c r="W84" s="1">
        <x:v>1</x:v>
      </x:c>
      <x:c r="X84" s="1">
        <x:v>0</x:v>
      </x:c>
      <x:c r="Y84" s="1">
        <x:v>0</x:v>
      </x:c>
      <x:c r="Z84" s="1" t="s">
        <x:v>136</x:v>
      </x:c>
      <x:c r="AA84" s="1" t="s">
        <x:v>136</x:v>
      </x:c>
      <x:c r="AB84" s="1" t="s">
        <x:v>136</x:v>
      </x:c>
      <x:c r="AC84" s="1" t="s">
        <x:v>138</x:v>
      </x:c>
    </x:row>
    <x:row r="85" ht="55.04999923706055" customHeight="1">
      <x:c r="A85" s="1" t="s">
        <x:v>86</x:v>
      </x:c>
      <x:c r="B85" s="1" t="str">
        <x:v>Scenario 084</x:v>
      </x:c>
      <x:c r="C85" s="1" t="str">
        <x:v>Synthetic domain-informed scenario</x:v>
      </x:c>
      <x:c r="D85" s="1">
        <x:v>10</x:v>
      </x:c>
      <x:c r="E85" s="1">
        <x:v>131000</x:v>
      </x:c>
      <x:c r="F85" s="1">
        <x:v>200</x:v>
      </x:c>
      <x:c r="G85" s="1" t="s">
        <x:v>146</x:v>
      </x:c>
      <x:c r="H85" s="1" t="s">
        <x:v>148</x:v>
      </x:c>
      <x:c r="I85" s="1" t="s">
        <x:v>151</x:v>
      </x:c>
      <x:c r="J85" s="1" t="s">
        <x:v>7</x:v>
      </x:c>
      <x:c r="K85" s="1" t="s">
        <x:v>3</x:v>
      </x:c>
      <x:c r="L85" s="1" t="s">
        <x:v>135</x:v>
      </x:c>
      <x:c r="M85" s="1" t="s">
        <x:v>3</x:v>
      </x:c>
      <x:c r="N85" s="1" t="s">
        <x:v>1</x:v>
      </x:c>
      <x:c r="O85" s="1">
        <x:v>14</x:v>
      </x:c>
      <x:c r="P85" s="1">
        <x:v>6720</x:v>
      </x:c>
      <x:c r="Q85" s="1">
        <x:v>40</x:v>
      </x:c>
      <x:c r="R85" s="4" t="b">
        <x:v>0</x:v>
      </x:c>
      <x:c r="S85" s="1">
        <x:v>1</x:v>
      </x:c>
      <x:c r="T85" s="1">
        <x:v>1</x:v>
      </x:c>
      <x:c r="U85" s="1">
        <x:v>1</x:v>
      </x:c>
      <x:c r="V85" s="1">
        <x:v>0</x:v>
      </x:c>
      <x:c r="W85" s="1">
        <x:v>0</x:v>
      </x:c>
      <x:c r="X85" s="1">
        <x:v>1</x:v>
      </x:c>
      <x:c r="Y85" s="1">
        <x:v>0</x:v>
      </x:c>
      <x:c r="Z85" s="1" t="s">
        <x:v>136</x:v>
      </x:c>
      <x:c r="AA85" s="1" t="s">
        <x:v>136</x:v>
      </x:c>
      <x:c r="AB85" s="1" t="s">
        <x:v>137</x:v>
      </x:c>
      <x:c r="AC85" s="1" t="s">
        <x:v>138</x:v>
      </x:c>
    </x:row>
    <x:row r="86" ht="55.04999923706055" customHeight="1">
      <x:c r="A86" s="1" t="s">
        <x:v>87</x:v>
      </x:c>
      <x:c r="B86" s="1" t="str">
        <x:v>Scenario 085</x:v>
      </x:c>
      <x:c r="C86" s="1" t="str">
        <x:v>Synthetic domain-informed scenario</x:v>
      </x:c>
      <x:c r="D86" s="1">
        <x:v>24</x:v>
      </x:c>
      <x:c r="E86" s="1">
        <x:v>100000</x:v>
      </x:c>
      <x:c r="F86" s="1">
        <x:v>788</x:v>
      </x:c>
      <x:c r="G86" s="1" t="s">
        <x:v>143</x:v>
      </x:c>
      <x:c r="H86" s="1" t="s">
        <x:v>144</x:v>
      </x:c>
      <x:c r="I86" s="1" t="s">
        <x:v>153</x:v>
      </x:c>
      <x:c r="J86" s="1" t="s">
        <x:v>7</x:v>
      </x:c>
      <x:c r="K86" s="1" t="s">
        <x:v>1</x:v>
      </x:c>
      <x:c r="L86" s="1" t="s">
        <x:v>135</x:v>
      </x:c>
      <x:c r="M86" s="1" t="s">
        <x:v>1</x:v>
      </x:c>
      <x:c r="N86" s="1" t="s">
        <x:v>1</x:v>
      </x:c>
      <x:c r="O86" s="1">
        <x:v>10</x:v>
      </x:c>
      <x:c r="P86" s="1">
        <x:v>4800</x:v>
      </x:c>
      <x:c r="Q86" s="1">
        <x:v>30</x:v>
      </x:c>
      <x:c r="R86" s="4" t="b">
        <x:v>1</x:v>
      </x:c>
      <x:c r="S86" s="1">
        <x:v>0</x:v>
      </x:c>
      <x:c r="T86" s="1">
        <x:v>0</x:v>
      </x:c>
      <x:c r="U86" s="1">
        <x:v>0</x:v>
      </x:c>
      <x:c r="V86" s="1">
        <x:v>0</x:v>
      </x:c>
      <x:c r="W86" s="1">
        <x:v>1</x:v>
      </x:c>
      <x:c r="X86" s="1">
        <x:v>0</x:v>
      </x:c>
      <x:c r="Y86" s="1">
        <x:v>0</x:v>
      </x:c>
      <x:c r="Z86" s="1" t="s">
        <x:v>136</x:v>
      </x:c>
      <x:c r="AA86" s="1" t="s">
        <x:v>136</x:v>
      </x:c>
      <x:c r="AB86" s="1" t="s">
        <x:v>136</x:v>
      </x:c>
      <x:c r="AC86" s="1" t="s">
        <x:v>138</x:v>
      </x:c>
    </x:row>
    <x:row r="87" ht="55.04999923706055" customHeight="1">
      <x:c r="A87" s="1" t="s">
        <x:v>88</x:v>
      </x:c>
      <x:c r="B87" s="1" t="str">
        <x:v>Scenario 086</x:v>
      </x:c>
      <x:c r="C87" s="1" t="str">
        <x:v>Synthetic domain-informed scenario</x:v>
      </x:c>
      <x:c r="D87" s="1">
        <x:v>21</x:v>
      </x:c>
      <x:c r="E87" s="1">
        <x:v>137000</x:v>
      </x:c>
      <x:c r="F87" s="1">
        <x:v>2514</x:v>
      </x:c>
      <x:c r="G87" s="1" t="s">
        <x:v>146</x:v>
      </x:c>
      <x:c r="H87" s="1" t="s">
        <x:v>148</x:v>
      </x:c>
      <x:c r="I87" s="1" t="s">
        <x:v>134</x:v>
      </x:c>
      <x:c r="J87" s="1" t="s">
        <x:v>3</x:v>
      </x:c>
      <x:c r="K87" s="1" t="s">
        <x:v>3</x:v>
      </x:c>
      <x:c r="L87" s="1" t="s">
        <x:v>135</x:v>
      </x:c>
      <x:c r="M87" s="1" t="s">
        <x:v>3</x:v>
      </x:c>
      <x:c r="N87" s="1" t="s">
        <x:v>3</x:v>
      </x:c>
      <x:c r="O87" s="1">
        <x:v>14</x:v>
      </x:c>
      <x:c r="P87" s="1">
        <x:v>6720</x:v>
      </x:c>
      <x:c r="Q87" s="1">
        <x:v>23</x:v>
      </x:c>
      <x:c r="R87" s="4" t="b">
        <x:v>1</x:v>
      </x:c>
      <x:c r="S87" s="1">
        <x:v>1</x:v>
      </x:c>
      <x:c r="T87" s="1">
        <x:v>1</x:v>
      </x:c>
      <x:c r="U87" s="1">
        <x:v>1</x:v>
      </x:c>
      <x:c r="V87" s="1">
        <x:v>0</x:v>
      </x:c>
      <x:c r="W87" s="1">
        <x:v>0</x:v>
      </x:c>
      <x:c r="X87" s="1">
        <x:v>1</x:v>
      </x:c>
      <x:c r="Y87" s="1">
        <x:v>0</x:v>
      </x:c>
      <x:c r="Z87" s="1" t="s">
        <x:v>136</x:v>
      </x:c>
      <x:c r="AA87" s="1" t="s">
        <x:v>136</x:v>
      </x:c>
      <x:c r="AB87" s="1" t="s">
        <x:v>137</x:v>
      </x:c>
      <x:c r="AC87" s="1" t="s">
        <x:v>138</x:v>
      </x:c>
    </x:row>
    <x:row r="88" ht="55.04999923706055" customHeight="1">
      <x:c r="A88" s="1" t="s">
        <x:v>89</x:v>
      </x:c>
      <x:c r="B88" s="1" t="str">
        <x:v>Scenario 087</x:v>
      </x:c>
      <x:c r="C88" s="1" t="str">
        <x:v>Synthetic domain-informed scenario</x:v>
      </x:c>
      <x:c r="D88" s="1">
        <x:v>64</x:v>
      </x:c>
      <x:c r="E88" s="1">
        <x:v>660000</x:v>
      </x:c>
      <x:c r="F88" s="1">
        <x:v>5264</x:v>
      </x:c>
      <x:c r="G88" s="1" t="s">
        <x:v>132</x:v>
      </x:c>
      <x:c r="H88" s="1" t="s">
        <x:v>133</x:v>
      </x:c>
      <x:c r="I88" s="1" t="s">
        <x:v>141</x:v>
      </x:c>
      <x:c r="J88" s="1" t="s">
        <x:v>7</x:v>
      </x:c>
      <x:c r="K88" s="1" t="s">
        <x:v>1</x:v>
      </x:c>
      <x:c r="L88" s="1" t="s">
        <x:v>145</x:v>
      </x:c>
      <x:c r="M88" s="1" t="s">
        <x:v>1</x:v>
      </x:c>
      <x:c r="N88" s="1" t="s">
        <x:v>1</x:v>
      </x:c>
      <x:c r="O88" s="1">
        <x:v>16</x:v>
      </x:c>
      <x:c r="P88" s="1">
        <x:v>7680</x:v>
      </x:c>
      <x:c r="Q88" s="1">
        <x:v>27</x:v>
      </x:c>
      <x:c r="R88" s="4" t="b">
        <x:v>1</x:v>
      </x:c>
      <x:c r="S88" s="1">
        <x:v>1</x:v>
      </x:c>
      <x:c r="T88" s="1">
        <x:v>1</x:v>
      </x:c>
      <x:c r="U88" s="1">
        <x:v>0</x:v>
      </x:c>
      <x:c r="V88" s="1">
        <x:v>0</x:v>
      </x:c>
      <x:c r="W88" s="1">
        <x:v>1</x:v>
      </x:c>
      <x:c r="X88" s="1">
        <x:v>0</x:v>
      </x:c>
      <x:c r="Y88" s="1">
        <x:v>0</x:v>
      </x:c>
      <x:c r="Z88" s="1" t="s">
        <x:v>136</x:v>
      </x:c>
      <x:c r="AA88" s="1" t="s">
        <x:v>136</x:v>
      </x:c>
      <x:c r="AB88" s="1" t="s">
        <x:v>137</x:v>
      </x:c>
      <x:c r="AC88" s="1" t="s">
        <x:v>138</x:v>
      </x:c>
    </x:row>
    <x:row r="89" ht="55.04999923706055" customHeight="1">
      <x:c r="A89" s="1" t="s">
        <x:v>90</x:v>
      </x:c>
      <x:c r="B89" s="1" t="str">
        <x:v>Scenario 088</x:v>
      </x:c>
      <x:c r="C89" s="1" t="str">
        <x:v>Synthetic domain-informed scenario</x:v>
      </x:c>
      <x:c r="D89" s="1">
        <x:v>10</x:v>
      </x:c>
      <x:c r="E89" s="1">
        <x:v>108000</x:v>
      </x:c>
      <x:c r="F89" s="1">
        <x:v>983</x:v>
      </x:c>
      <x:c r="G89" s="1" t="s">
        <x:v>132</x:v>
      </x:c>
      <x:c r="H89" s="1" t="s">
        <x:v>133</x:v>
      </x:c>
      <x:c r="I89" s="1" t="s">
        <x:v>151</x:v>
      </x:c>
      <x:c r="J89" s="1" t="s">
        <x:v>7</x:v>
      </x:c>
      <x:c r="K89" s="1" t="s">
        <x:v>1</x:v>
      </x:c>
      <x:c r="L89" s="1" t="s">
        <x:v>145</x:v>
      </x:c>
      <x:c r="M89" s="1" t="s">
        <x:v>7</x:v>
      </x:c>
      <x:c r="N89" s="1" t="s">
        <x:v>7</x:v>
      </x:c>
      <x:c r="O89" s="1">
        <x:v>10</x:v>
      </x:c>
      <x:c r="P89" s="1">
        <x:v>4800</x:v>
      </x:c>
      <x:c r="Q89" s="1">
        <x:v>38</x:v>
      </x:c>
      <x:c r="R89" s="4" t="b">
        <x:v>1</x:v>
      </x:c>
      <x:c r="S89" s="1">
        <x:v>1</x:v>
      </x:c>
      <x:c r="T89" s="1">
        <x:v>1</x:v>
      </x:c>
      <x:c r="U89" s="1">
        <x:v>0</x:v>
      </x:c>
      <x:c r="V89" s="1">
        <x:v>0</x:v>
      </x:c>
      <x:c r="W89" s="1">
        <x:v>1</x:v>
      </x:c>
      <x:c r="X89" s="1">
        <x:v>0</x:v>
      </x:c>
      <x:c r="Y89" s="1">
        <x:v>0</x:v>
      </x:c>
      <x:c r="Z89" s="1" t="s">
        <x:v>136</x:v>
      </x:c>
      <x:c r="AA89" s="1" t="s">
        <x:v>136</x:v>
      </x:c>
      <x:c r="AB89" s="1" t="s">
        <x:v>137</x:v>
      </x:c>
      <x:c r="AC89" s="1" t="s">
        <x:v>138</x:v>
      </x:c>
    </x:row>
    <x:row r="90" ht="55.04999923706055" customHeight="1">
      <x:c r="A90" s="1" t="s">
        <x:v>91</x:v>
      </x:c>
      <x:c r="B90" s="1" t="str">
        <x:v>Scenario 089</x:v>
      </x:c>
      <x:c r="C90" s="1" t="str">
        <x:v>Synthetic domain-informed scenario</x:v>
      </x:c>
      <x:c r="D90" s="1">
        <x:v>24</x:v>
      </x:c>
      <x:c r="E90" s="1">
        <x:v>130000</x:v>
      </x:c>
      <x:c r="F90" s="1">
        <x:v>498</x:v>
      </x:c>
      <x:c r="G90" s="1" t="s">
        <x:v>139</x:v>
      </x:c>
      <x:c r="H90" s="1" t="s">
        <x:v>140</x:v>
      </x:c>
      <x:c r="I90" s="1" t="s">
        <x:v>153</x:v>
      </x:c>
      <x:c r="J90" s="1" t="s">
        <x:v>7</x:v>
      </x:c>
      <x:c r="K90" s="1" t="s">
        <x:v>1</x:v>
      </x:c>
      <x:c r="L90" s="1" t="s">
        <x:v>145</x:v>
      </x:c>
      <x:c r="M90" s="1" t="s">
        <x:v>7</x:v>
      </x:c>
      <x:c r="N90" s="1" t="s">
        <x:v>7</x:v>
      </x:c>
      <x:c r="O90" s="1">
        <x:v>8</x:v>
      </x:c>
      <x:c r="P90" s="1">
        <x:v>3840</x:v>
      </x:c>
      <x:c r="Q90" s="1">
        <x:v>22</x:v>
      </x:c>
      <x:c r="R90" s="4" t="b">
        <x:v>1</x:v>
      </x:c>
      <x:c r="S90" s="1">
        <x:v>1</x:v>
      </x:c>
      <x:c r="T90" s="1">
        <x:v>0</x:v>
      </x:c>
      <x:c r="U90" s="1">
        <x:v>0</x:v>
      </x:c>
      <x:c r="V90" s="1">
        <x:v>0</x:v>
      </x:c>
      <x:c r="W90" s="1">
        <x:v>1</x:v>
      </x:c>
      <x:c r="X90" s="1">
        <x:v>0</x:v>
      </x:c>
      <x:c r="Y90" s="1">
        <x:v>0</x:v>
      </x:c>
      <x:c r="Z90" s="1" t="s">
        <x:v>136</x:v>
      </x:c>
      <x:c r="AA90" s="1" t="s">
        <x:v>136</x:v>
      </x:c>
      <x:c r="AB90" s="1" t="s">
        <x:v>137</x:v>
      </x:c>
      <x:c r="AC90" s="1" t="s">
        <x:v>138</x:v>
      </x:c>
    </x:row>
    <x:row r="91" ht="55.04999923706055" customHeight="1">
      <x:c r="A91" s="1" t="s">
        <x:v>92</x:v>
      </x:c>
      <x:c r="B91" s="1" t="str">
        <x:v>Scenario 090</x:v>
      </x:c>
      <x:c r="C91" s="1" t="str">
        <x:v>Synthetic domain-informed scenario</x:v>
      </x:c>
      <x:c r="D91" s="1">
        <x:v>18</x:v>
      </x:c>
      <x:c r="E91" s="1">
        <x:v>60000</x:v>
      </x:c>
      <x:c r="F91" s="1">
        <x:v>2518</x:v>
      </x:c>
      <x:c r="G91" s="1" t="s">
        <x:v>149</x:v>
      </x:c>
      <x:c r="H91" s="1" t="s">
        <x:v>150</x:v>
      </x:c>
      <x:c r="I91" s="1" t="s">
        <x:v>151</x:v>
      </x:c>
      <x:c r="J91" s="1" t="s">
        <x:v>7</x:v>
      </x:c>
      <x:c r="K91" s="1" t="s">
        <x:v>1</x:v>
      </x:c>
      <x:c r="L91" s="1" t="s">
        <x:v>145</x:v>
      </x:c>
      <x:c r="M91" s="1" t="s">
        <x:v>7</x:v>
      </x:c>
      <x:c r="N91" s="1" t="s">
        <x:v>7</x:v>
      </x:c>
      <x:c r="O91" s="1">
        <x:v>7</x:v>
      </x:c>
      <x:c r="P91" s="1">
        <x:v>3360</x:v>
      </x:c>
      <x:c r="Q91" s="1">
        <x:v>27</x:v>
      </x:c>
      <x:c r="R91" s="4" t="b">
        <x:v>1</x:v>
      </x:c>
      <x:c r="S91" s="1">
        <x:v>1</x:v>
      </x:c>
      <x:c r="T91" s="1">
        <x:v>1</x:v>
      </x:c>
      <x:c r="U91" s="1">
        <x:v>0</x:v>
      </x:c>
      <x:c r="V91" s="1">
        <x:v>0</x:v>
      </x:c>
      <x:c r="W91" s="1">
        <x:v>0</x:v>
      </x:c>
      <x:c r="X91" s="1">
        <x:v>0</x:v>
      </x:c>
      <x:c r="Y91" s="1">
        <x:v>0</x:v>
      </x:c>
      <x:c r="Z91" s="1" t="s">
        <x:v>136</x:v>
      </x:c>
      <x:c r="AA91" s="1" t="s">
        <x:v>136</x:v>
      </x:c>
      <x:c r="AB91" s="1" t="s">
        <x:v>137</x:v>
      </x:c>
      <x:c r="AC91" s="1" t="s">
        <x:v>138</x:v>
      </x:c>
    </x:row>
    <x:row r="92" ht="55.04999923706055" customHeight="1">
      <x:c r="A92" s="1" t="s">
        <x:v>93</x:v>
      </x:c>
      <x:c r="B92" s="1" t="str">
        <x:v>Scenario 091</x:v>
      </x:c>
      <x:c r="C92" s="1" t="str">
        <x:v>Synthetic domain-informed scenario</x:v>
      </x:c>
      <x:c r="D92" s="1">
        <x:v>15</x:v>
      </x:c>
      <x:c r="E92" s="1">
        <x:v>254000</x:v>
      </x:c>
      <x:c r="F92" s="1">
        <x:v>1787</x:v>
      </x:c>
      <x:c r="G92" s="1" t="s">
        <x:v>146</x:v>
      </x:c>
      <x:c r="H92" s="1" t="s">
        <x:v>148</x:v>
      </x:c>
      <x:c r="I92" s="1" t="s">
        <x:v>142</x:v>
      </x:c>
      <x:c r="J92" s="1" t="s">
        <x:v>3</x:v>
      </x:c>
      <x:c r="K92" s="1" t="s">
        <x:v>3</x:v>
      </x:c>
      <x:c r="L92" s="1" t="s">
        <x:v>135</x:v>
      </x:c>
      <x:c r="M92" s="1" t="s">
        <x:v>3</x:v>
      </x:c>
      <x:c r="N92" s="1" t="s">
        <x:v>3</x:v>
      </x:c>
      <x:c r="O92" s="1">
        <x:v>11</x:v>
      </x:c>
      <x:c r="P92" s="1">
        <x:v>5280</x:v>
      </x:c>
      <x:c r="Q92" s="1">
        <x:v>39</x:v>
      </x:c>
      <x:c r="R92" s="4" t="b">
        <x:v>1</x:v>
      </x:c>
      <x:c r="S92" s="1">
        <x:v>1</x:v>
      </x:c>
      <x:c r="T92" s="1">
        <x:v>1</x:v>
      </x:c>
      <x:c r="U92" s="1">
        <x:v>1</x:v>
      </x:c>
      <x:c r="V92" s="1">
        <x:v>0</x:v>
      </x:c>
      <x:c r="W92" s="1">
        <x:v>0</x:v>
      </x:c>
      <x:c r="X92" s="1">
        <x:v>1</x:v>
      </x:c>
      <x:c r="Y92" s="1">
        <x:v>0</x:v>
      </x:c>
      <x:c r="Z92" s="1" t="s">
        <x:v>136</x:v>
      </x:c>
      <x:c r="AA92" s="1" t="s">
        <x:v>136</x:v>
      </x:c>
      <x:c r="AB92" s="1" t="s">
        <x:v>137</x:v>
      </x:c>
      <x:c r="AC92" s="1" t="s">
        <x:v>138</x:v>
      </x:c>
    </x:row>
    <x:row r="93" ht="55.04999923706055" customHeight="1">
      <x:c r="A93" s="1" t="s">
        <x:v>94</x:v>
      </x:c>
      <x:c r="B93" s="1" t="str">
        <x:v>Scenario 092</x:v>
      </x:c>
      <x:c r="C93" s="1" t="str">
        <x:v>Synthetic domain-informed scenario</x:v>
      </x:c>
      <x:c r="D93" s="1">
        <x:v>22</x:v>
      </x:c>
      <x:c r="E93" s="1">
        <x:v>100000</x:v>
      </x:c>
      <x:c r="F93" s="1">
        <x:v>1843</x:v>
      </x:c>
      <x:c r="G93" s="1" t="s">
        <x:v>149</x:v>
      </x:c>
      <x:c r="H93" s="1" t="s">
        <x:v>150</x:v>
      </x:c>
      <x:c r="I93" s="1" t="s">
        <x:v>141</x:v>
      </x:c>
      <x:c r="J93" s="1" t="s">
        <x:v>3</x:v>
      </x:c>
      <x:c r="K93" s="1" t="s">
        <x:v>1</x:v>
      </x:c>
      <x:c r="L93" s="1" t="s">
        <x:v>145</x:v>
      </x:c>
      <x:c r="M93" s="1" t="s">
        <x:v>1</x:v>
      </x:c>
      <x:c r="N93" s="1" t="s">
        <x:v>1</x:v>
      </x:c>
      <x:c r="O93" s="1">
        <x:v>7</x:v>
      </x:c>
      <x:c r="P93" s="1">
        <x:v>3360</x:v>
      </x:c>
      <x:c r="Q93" s="1">
        <x:v>40</x:v>
      </x:c>
      <x:c r="R93" s="4" t="b">
        <x:v>1</x:v>
      </x:c>
      <x:c r="S93" s="1">
        <x:v>1</x:v>
      </x:c>
      <x:c r="T93" s="1">
        <x:v>1</x:v>
      </x:c>
      <x:c r="U93" s="1">
        <x:v>0</x:v>
      </x:c>
      <x:c r="V93" s="1">
        <x:v>0</x:v>
      </x:c>
      <x:c r="W93" s="1">
        <x:v>0</x:v>
      </x:c>
      <x:c r="X93" s="1">
        <x:v>0</x:v>
      </x:c>
      <x:c r="Y93" s="1">
        <x:v>0</x:v>
      </x:c>
      <x:c r="Z93" s="1" t="s">
        <x:v>136</x:v>
      </x:c>
      <x:c r="AA93" s="1" t="s">
        <x:v>136</x:v>
      </x:c>
      <x:c r="AB93" s="1" t="s">
        <x:v>137</x:v>
      </x:c>
      <x:c r="AC93" s="1" t="s">
        <x:v>138</x:v>
      </x:c>
    </x:row>
    <x:row r="94" ht="55.04999923706055" customHeight="1">
      <x:c r="A94" s="1" t="s">
        <x:v>95</x:v>
      </x:c>
      <x:c r="B94" s="1" t="str">
        <x:v>Scenario 093</x:v>
      </x:c>
      <x:c r="C94" s="1" t="str">
        <x:v>Synthetic domain-informed scenario</x:v>
      </x:c>
      <x:c r="D94" s="1">
        <x:v>46</x:v>
      </x:c>
      <x:c r="E94" s="1">
        <x:v>51000</x:v>
      </x:c>
      <x:c r="F94" s="1">
        <x:v>378</x:v>
      </x:c>
      <x:c r="G94" s="1" t="s">
        <x:v>149</x:v>
      </x:c>
      <x:c r="H94" s="1" t="s">
        <x:v>150</x:v>
      </x:c>
      <x:c r="I94" s="1" t="s">
        <x:v>153</x:v>
      </x:c>
      <x:c r="J94" s="1" t="s">
        <x:v>7</x:v>
      </x:c>
      <x:c r="K94" s="1" t="s">
        <x:v>3</x:v>
      </x:c>
      <x:c r="L94" s="1" t="s">
        <x:v>145</x:v>
      </x:c>
      <x:c r="M94" s="1" t="s">
        <x:v>1</x:v>
      </x:c>
      <x:c r="N94" s="1" t="s">
        <x:v>1</x:v>
      </x:c>
      <x:c r="O94" s="1">
        <x:v>14</x:v>
      </x:c>
      <x:c r="P94" s="1">
        <x:v>6720</x:v>
      </x:c>
      <x:c r="Q94" s="1">
        <x:v>26</x:v>
      </x:c>
      <x:c r="R94" s="4" t="b">
        <x:v>1</x:v>
      </x:c>
      <x:c r="S94" s="1">
        <x:v>1</x:v>
      </x:c>
      <x:c r="T94" s="1">
        <x:v>1</x:v>
      </x:c>
      <x:c r="U94" s="1">
        <x:v>0</x:v>
      </x:c>
      <x:c r="V94" s="1">
        <x:v>0</x:v>
      </x:c>
      <x:c r="W94" s="1">
        <x:v>0</x:v>
      </x:c>
      <x:c r="X94" s="1">
        <x:v>0</x:v>
      </x:c>
      <x:c r="Y94" s="1">
        <x:v>0</x:v>
      </x:c>
      <x:c r="Z94" s="1" t="s">
        <x:v>136</x:v>
      </x:c>
      <x:c r="AA94" s="1" t="s">
        <x:v>136</x:v>
      </x:c>
      <x:c r="AB94" s="1" t="s">
        <x:v>137</x:v>
      </x:c>
      <x:c r="AC94" s="1" t="s">
        <x:v>138</x:v>
      </x:c>
    </x:row>
    <x:row r="95" ht="55.04999923706055" customHeight="1">
      <x:c r="A95" s="1" t="s">
        <x:v>96</x:v>
      </x:c>
      <x:c r="B95" s="1" t="str">
        <x:v>Scenario 094</x:v>
      </x:c>
      <x:c r="C95" s="1" t="str">
        <x:v>Synthetic domain-informed scenario</x:v>
      </x:c>
      <x:c r="D95" s="1">
        <x:v>27</x:v>
      </x:c>
      <x:c r="E95" s="1">
        <x:v>52000</x:v>
      </x:c>
      <x:c r="F95" s="1">
        <x:v>768</x:v>
      </x:c>
      <x:c r="G95" s="1" t="s">
        <x:v>146</x:v>
      </x:c>
      <x:c r="H95" s="1" t="s">
        <x:v>148</x:v>
      </x:c>
      <x:c r="I95" s="1" t="s">
        <x:v>142</x:v>
      </x:c>
      <x:c r="J95" s="1" t="s">
        <x:v>3</x:v>
      </x:c>
      <x:c r="K95" s="1" t="s">
        <x:v>3</x:v>
      </x:c>
      <x:c r="L95" s="1" t="s">
        <x:v>135</x:v>
      </x:c>
      <x:c r="M95" s="1" t="s">
        <x:v>3</x:v>
      </x:c>
      <x:c r="N95" s="1" t="s">
        <x:v>3</x:v>
      </x:c>
      <x:c r="O95" s="1">
        <x:v>13</x:v>
      </x:c>
      <x:c r="P95" s="1">
        <x:v>6240</x:v>
      </x:c>
      <x:c r="Q95" s="1">
        <x:v>30</x:v>
      </x:c>
      <x:c r="R95" s="4" t="b">
        <x:v>1</x:v>
      </x:c>
      <x:c r="S95" s="1">
        <x:v>1</x:v>
      </x:c>
      <x:c r="T95" s="1">
        <x:v>1</x:v>
      </x:c>
      <x:c r="U95" s="1">
        <x:v>1</x:v>
      </x:c>
      <x:c r="V95" s="1">
        <x:v>0</x:v>
      </x:c>
      <x:c r="W95" s="1">
        <x:v>0</x:v>
      </x:c>
      <x:c r="X95" s="1">
        <x:v>1</x:v>
      </x:c>
      <x:c r="Y95" s="1">
        <x:v>0</x:v>
      </x:c>
      <x:c r="Z95" s="1" t="s">
        <x:v>136</x:v>
      </x:c>
      <x:c r="AA95" s="1" t="s">
        <x:v>136</x:v>
      </x:c>
      <x:c r="AB95" s="1" t="s">
        <x:v>137</x:v>
      </x:c>
      <x:c r="AC95" s="1" t="s">
        <x:v>138</x:v>
      </x:c>
    </x:row>
    <x:row r="96" ht="55.04999923706055" customHeight="1">
      <x:c r="A96" s="1" t="s">
        <x:v>97</x:v>
      </x:c>
      <x:c r="B96" s="1" t="str">
        <x:v>Scenario 095</x:v>
      </x:c>
      <x:c r="C96" s="1" t="str">
        <x:v>Synthetic domain-informed scenario</x:v>
      </x:c>
      <x:c r="D96" s="1">
        <x:v>127</x:v>
      </x:c>
      <x:c r="E96" s="1">
        <x:v>2784000</x:v>
      </x:c>
      <x:c r="F96" s="1">
        <x:v>5332</x:v>
      </x:c>
      <x:c r="G96" s="1" t="s">
        <x:v>132</x:v>
      </x:c>
      <x:c r="H96" s="1" t="s">
        <x:v>133</x:v>
      </x:c>
      <x:c r="I96" s="1" t="s">
        <x:v>134</x:v>
      </x:c>
      <x:c r="J96" s="1" t="s">
        <x:v>7</x:v>
      </x:c>
      <x:c r="K96" s="1" t="s">
        <x:v>1</x:v>
      </x:c>
      <x:c r="L96" s="1" t="s">
        <x:v>135</x:v>
      </x:c>
      <x:c r="M96" s="1" t="s">
        <x:v>3</x:v>
      </x:c>
      <x:c r="N96" s="1" t="s">
        <x:v>1</x:v>
      </x:c>
      <x:c r="O96" s="1">
        <x:v>15</x:v>
      </x:c>
      <x:c r="P96" s="1">
        <x:v>7200</x:v>
      </x:c>
      <x:c r="Q96" s="1">
        <x:v>28</x:v>
      </x:c>
      <x:c r="R96" s="4" t="b">
        <x:v>0</x:v>
      </x:c>
      <x:c r="S96" s="1">
        <x:v>1</x:v>
      </x:c>
      <x:c r="T96" s="1">
        <x:v>1</x:v>
      </x:c>
      <x:c r="U96" s="1">
        <x:v>0</x:v>
      </x:c>
      <x:c r="V96" s="1">
        <x:v>0</x:v>
      </x:c>
      <x:c r="W96" s="1">
        <x:v>1</x:v>
      </x:c>
      <x:c r="X96" s="1">
        <x:v>0</x:v>
      </x:c>
      <x:c r="Y96" s="1">
        <x:v>0</x:v>
      </x:c>
      <x:c r="Z96" s="1" t="s">
        <x:v>136</x:v>
      </x:c>
      <x:c r="AA96" s="1" t="s">
        <x:v>136</x:v>
      </x:c>
      <x:c r="AB96" s="1" t="s">
        <x:v>137</x:v>
      </x:c>
      <x:c r="AC96" s="1" t="s">
        <x:v>138</x:v>
      </x:c>
    </x:row>
    <x:row r="97" ht="55.04999923706055" customHeight="1">
      <x:c r="A97" s="1" t="s">
        <x:v>98</x:v>
      </x:c>
      <x:c r="B97" s="1" t="str">
        <x:v>Scenario 096</x:v>
      </x:c>
      <x:c r="C97" s="1" t="str">
        <x:v>Synthetic domain-informed scenario</x:v>
      </x:c>
      <x:c r="D97" s="1">
        <x:v>15</x:v>
      </x:c>
      <x:c r="E97" s="1">
        <x:v>84000</x:v>
      </x:c>
      <x:c r="F97" s="1">
        <x:v>685</x:v>
      </x:c>
      <x:c r="G97" s="1" t="s">
        <x:v>143</x:v>
      </x:c>
      <x:c r="H97" s="1" t="s">
        <x:v>144</x:v>
      </x:c>
      <x:c r="I97" s="1" t="s">
        <x:v>153</x:v>
      </x:c>
      <x:c r="J97" s="1" t="s">
        <x:v>7</x:v>
      </x:c>
      <x:c r="K97" s="1" t="s">
        <x:v>1</x:v>
      </x:c>
      <x:c r="L97" s="1" t="s">
        <x:v>135</x:v>
      </x:c>
      <x:c r="M97" s="1" t="s">
        <x:v>1</x:v>
      </x:c>
      <x:c r="N97" s="1" t="s">
        <x:v>1</x:v>
      </x:c>
      <x:c r="O97" s="1">
        <x:v>10</x:v>
      </x:c>
      <x:c r="P97" s="1">
        <x:v>4800</x:v>
      </x:c>
      <x:c r="Q97" s="1">
        <x:v>20</x:v>
      </x:c>
      <x:c r="R97" s="4" t="b">
        <x:v>1</x:v>
      </x:c>
      <x:c r="S97" s="1">
        <x:v>0</x:v>
      </x:c>
      <x:c r="T97" s="1">
        <x:v>0</x:v>
      </x:c>
      <x:c r="U97" s="1">
        <x:v>0</x:v>
      </x:c>
      <x:c r="V97" s="1">
        <x:v>0</x:v>
      </x:c>
      <x:c r="W97" s="1">
        <x:v>1</x:v>
      </x:c>
      <x:c r="X97" s="1">
        <x:v>0</x:v>
      </x:c>
      <x:c r="Y97" s="1">
        <x:v>0</x:v>
      </x:c>
      <x:c r="Z97" s="1" t="s">
        <x:v>136</x:v>
      </x:c>
      <x:c r="AA97" s="1" t="s">
        <x:v>136</x:v>
      </x:c>
      <x:c r="AB97" s="1" t="s">
        <x:v>136</x:v>
      </x:c>
      <x:c r="AC97" s="1" t="s">
        <x:v>138</x:v>
      </x:c>
    </x:row>
    <x:row r="98" ht="55.04999923706055" customHeight="1">
      <x:c r="A98" s="1" t="s">
        <x:v>99</x:v>
      </x:c>
      <x:c r="B98" s="1" t="str">
        <x:v>Scenario 097</x:v>
      </x:c>
      <x:c r="C98" s="1" t="str">
        <x:v>Synthetic domain-informed scenario</x:v>
      </x:c>
      <x:c r="D98" s="1">
        <x:v>51</x:v>
      </x:c>
      <x:c r="E98" s="1">
        <x:v>189000</x:v>
      </x:c>
      <x:c r="F98" s="1">
        <x:v>1597</x:v>
      </x:c>
      <x:c r="G98" s="1" t="s">
        <x:v>146</x:v>
      </x:c>
      <x:c r="H98" s="1" t="s">
        <x:v>148</x:v>
      </x:c>
      <x:c r="I98" s="1" t="s">
        <x:v>142</x:v>
      </x:c>
      <x:c r="J98" s="1" t="s">
        <x:v>3</x:v>
      </x:c>
      <x:c r="K98" s="1" t="s">
        <x:v>3</x:v>
      </x:c>
      <x:c r="L98" s="1" t="s">
        <x:v>135</x:v>
      </x:c>
      <x:c r="M98" s="1" t="s">
        <x:v>3</x:v>
      </x:c>
      <x:c r="N98" s="1" t="s">
        <x:v>3</x:v>
      </x:c>
      <x:c r="O98" s="1">
        <x:v>13</x:v>
      </x:c>
      <x:c r="P98" s="1">
        <x:v>6240</x:v>
      </x:c>
      <x:c r="Q98" s="1">
        <x:v>24</x:v>
      </x:c>
      <x:c r="R98" s="4" t="b">
        <x:v>1</x:v>
      </x:c>
      <x:c r="S98" s="1">
        <x:v>1</x:v>
      </x:c>
      <x:c r="T98" s="1">
        <x:v>1</x:v>
      </x:c>
      <x:c r="U98" s="1">
        <x:v>1</x:v>
      </x:c>
      <x:c r="V98" s="1">
        <x:v>0</x:v>
      </x:c>
      <x:c r="W98" s="1">
        <x:v>0</x:v>
      </x:c>
      <x:c r="X98" s="1">
        <x:v>1</x:v>
      </x:c>
      <x:c r="Y98" s="1">
        <x:v>0</x:v>
      </x:c>
      <x:c r="Z98" s="1" t="s">
        <x:v>136</x:v>
      </x:c>
      <x:c r="AA98" s="1" t="s">
        <x:v>136</x:v>
      </x:c>
      <x:c r="AB98" s="1" t="s">
        <x:v>137</x:v>
      </x:c>
      <x:c r="AC98" s="1" t="s">
        <x:v>138</x:v>
      </x:c>
    </x:row>
    <x:row r="99" ht="55.04999923706055" customHeight="1">
      <x:c r="A99" s="1" t="s">
        <x:v>100</x:v>
      </x:c>
      <x:c r="B99" s="1" t="str">
        <x:v>Scenario 098</x:v>
      </x:c>
      <x:c r="C99" s="1" t="str">
        <x:v>Synthetic domain-informed scenario</x:v>
      </x:c>
      <x:c r="D99" s="1">
        <x:v>24</x:v>
      </x:c>
      <x:c r="E99" s="1">
        <x:v>137000</x:v>
      </x:c>
      <x:c r="F99" s="1">
        <x:v>450</x:v>
      </x:c>
      <x:c r="G99" s="1" t="s">
        <x:v>143</x:v>
      </x:c>
      <x:c r="H99" s="1" t="s">
        <x:v>144</x:v>
      </x:c>
      <x:c r="I99" s="1" t="s">
        <x:v>142</x:v>
      </x:c>
      <x:c r="J99" s="1" t="s">
        <x:v>3</x:v>
      </x:c>
      <x:c r="K99" s="1" t="s">
        <x:v>7</x:v>
      </x:c>
      <x:c r="L99" s="1" t="s">
        <x:v>145</x:v>
      </x:c>
      <x:c r="M99" s="1" t="s">
        <x:v>1</x:v>
      </x:c>
      <x:c r="N99" s="1" t="s">
        <x:v>7</x:v>
      </x:c>
      <x:c r="O99" s="1">
        <x:v>7</x:v>
      </x:c>
      <x:c r="P99" s="1">
        <x:v>3360</x:v>
      </x:c>
      <x:c r="Q99" s="1">
        <x:v>38</x:v>
      </x:c>
      <x:c r="R99" s="4" t="b">
        <x:v>0</x:v>
      </x:c>
      <x:c r="S99" s="1">
        <x:v>0</x:v>
      </x:c>
      <x:c r="T99" s="1">
        <x:v>0</x:v>
      </x:c>
      <x:c r="U99" s="1">
        <x:v>0</x:v>
      </x:c>
      <x:c r="V99" s="1">
        <x:v>0</x:v>
      </x:c>
      <x:c r="W99" s="1">
        <x:v>1</x:v>
      </x:c>
      <x:c r="X99" s="1">
        <x:v>0</x:v>
      </x:c>
      <x:c r="Y99" s="1">
        <x:v>0</x:v>
      </x:c>
      <x:c r="Z99" s="1" t="s">
        <x:v>136</x:v>
      </x:c>
      <x:c r="AA99" s="1" t="s">
        <x:v>136</x:v>
      </x:c>
      <x:c r="AB99" s="1" t="s">
        <x:v>136</x:v>
      </x:c>
      <x:c r="AC99" s="1" t="s">
        <x:v>138</x:v>
      </x:c>
    </x:row>
    <x:row r="100" ht="55.04999923706055" customHeight="1">
      <x:c r="A100" s="1" t="s">
        <x:v>101</x:v>
      </x:c>
      <x:c r="B100" s="1" t="str">
        <x:v>Scenario 099</x:v>
      </x:c>
      <x:c r="C100" s="1" t="str">
        <x:v>Synthetic domain-informed scenario</x:v>
      </x:c>
      <x:c r="D100" s="1">
        <x:v>30</x:v>
      </x:c>
      <x:c r="E100" s="1">
        <x:v>55000</x:v>
      </x:c>
      <x:c r="F100" s="1">
        <x:v>667</x:v>
      </x:c>
      <x:c r="G100" s="1" t="s">
        <x:v>132</x:v>
      </x:c>
      <x:c r="H100" s="1" t="s">
        <x:v>133</x:v>
      </x:c>
      <x:c r="I100" s="1" t="s">
        <x:v>134</x:v>
      </x:c>
      <x:c r="J100" s="1" t="s">
        <x:v>3</x:v>
      </x:c>
      <x:c r="K100" s="1" t="s">
        <x:v>3</x:v>
      </x:c>
      <x:c r="L100" s="1" t="s">
        <x:v>135</x:v>
      </x:c>
      <x:c r="M100" s="1" t="s">
        <x:v>3</x:v>
      </x:c>
      <x:c r="N100" s="1" t="s">
        <x:v>3</x:v>
      </x:c>
      <x:c r="O100" s="1">
        <x:v>14</x:v>
      </x:c>
      <x:c r="P100" s="1">
        <x:v>6720</x:v>
      </x:c>
      <x:c r="Q100" s="1">
        <x:v>34</x:v>
      </x:c>
      <x:c r="R100" s="4" t="b">
        <x:v>1</x:v>
      </x:c>
      <x:c r="S100" s="1">
        <x:v>1</x:v>
      </x:c>
      <x:c r="T100" s="1">
        <x:v>1</x:v>
      </x:c>
      <x:c r="U100" s="1">
        <x:v>0</x:v>
      </x:c>
      <x:c r="V100" s="1">
        <x:v>0</x:v>
      </x:c>
      <x:c r="W100" s="1">
        <x:v>1</x:v>
      </x:c>
      <x:c r="X100" s="1">
        <x:v>0</x:v>
      </x:c>
      <x:c r="Y100" s="1">
        <x:v>0</x:v>
      </x:c>
      <x:c r="Z100" s="1" t="s">
        <x:v>136</x:v>
      </x:c>
      <x:c r="AA100" s="1" t="s">
        <x:v>136</x:v>
      </x:c>
      <x:c r="AB100" s="1" t="s">
        <x:v>137</x:v>
      </x:c>
      <x:c r="AC100" s="1" t="s">
        <x:v>138</x:v>
      </x:c>
    </x:row>
    <x:row r="101" ht="55.04999923706055" customHeight="1">
      <x:c r="A101" s="1" t="s">
        <x:v>102</x:v>
      </x:c>
      <x:c r="B101" s="1" t="str">
        <x:v>Scenario 100</x:v>
      </x:c>
      <x:c r="C101" s="1" t="str">
        <x:v>Synthetic domain-informed scenario</x:v>
      </x:c>
      <x:c r="D101" s="1">
        <x:v>44</x:v>
      </x:c>
      <x:c r="E101" s="1">
        <x:v>239000</x:v>
      </x:c>
      <x:c r="F101" s="1">
        <x:v>5256</x:v>
      </x:c>
      <x:c r="G101" s="1" t="s">
        <x:v>149</x:v>
      </x:c>
      <x:c r="H101" s="1" t="s">
        <x:v>150</x:v>
      </x:c>
      <x:c r="I101" s="1" t="s">
        <x:v>134</x:v>
      </x:c>
      <x:c r="J101" s="1" t="s">
        <x:v>7</x:v>
      </x:c>
      <x:c r="K101" s="1" t="s">
        <x:v>3</x:v>
      </x:c>
      <x:c r="L101" s="1" t="s">
        <x:v>145</x:v>
      </x:c>
      <x:c r="M101" s="1" t="s">
        <x:v>1</x:v>
      </x:c>
      <x:c r="N101" s="1" t="s">
        <x:v>1</x:v>
      </x:c>
      <x:c r="O101" s="1">
        <x:v>16</x:v>
      </x:c>
      <x:c r="P101" s="1">
        <x:v>7680</x:v>
      </x:c>
      <x:c r="Q101" s="1">
        <x:v>26</x:v>
      </x:c>
      <x:c r="R101" s="4" t="b">
        <x:v>1</x:v>
      </x:c>
      <x:c r="S101" s="1">
        <x:v>1</x:v>
      </x:c>
      <x:c r="T101" s="1">
        <x:v>1</x:v>
      </x:c>
      <x:c r="U101" s="1">
        <x:v>0</x:v>
      </x:c>
      <x:c r="V101" s="1">
        <x:v>0</x:v>
      </x:c>
      <x:c r="W101" s="1">
        <x:v>0</x:v>
      </x:c>
      <x:c r="X101" s="1">
        <x:v>0</x:v>
      </x:c>
      <x:c r="Y101" s="1">
        <x:v>0</x:v>
      </x:c>
      <x:c r="Z101" s="1" t="s">
        <x:v>136</x:v>
      </x:c>
      <x:c r="AA101" s="1" t="s">
        <x:v>136</x:v>
      </x:c>
      <x:c r="AB101" s="1" t="s">
        <x:v>137</x:v>
      </x:c>
      <x:c r="AC101" s="1" t="s">
        <x:v>138</x:v>
      </x:c>
    </x:row>
  </x:sheetData>
  <x:pageMargins left="0.7" right="0.7" top="0.75" bottom="0.75" header="0.3" footer="0.3"/>
</x:worksheet>
</file>